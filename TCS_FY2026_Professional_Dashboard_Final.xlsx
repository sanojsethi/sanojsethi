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BBC978F4E247643/Documents/"/>
    </mc:Choice>
  </mc:AlternateContent>
  <xr:revisionPtr revIDLastSave="1127" documentId="8_{23C8A41A-6E68-4613-A9EA-424781E90AED}" xr6:coauthVersionLast="47" xr6:coauthVersionMax="47" xr10:uidLastSave="{1D2D2304-A6C9-4809-A797-54C560192818}"/>
  <bookViews>
    <workbookView xWindow="-120" yWindow="-120" windowWidth="20730" windowHeight="11040" tabRatio="940" activeTab="1" xr2:uid="{00000000-000D-0000-FFFF-FFFF00000000}"/>
  </bookViews>
  <sheets>
    <sheet name="Cover" sheetId="14" r:id="rId1"/>
    <sheet name="Dashboard" sheetId="13" r:id="rId2"/>
    <sheet name="01_MASTER_ALL_DATA" sheetId="2" r:id="rId3"/>
    <sheet name="02_FINANCIAL_ANALYSIS" sheetId="3" r:id="rId4"/>
    <sheet name="03_INDUSTRY_ANALYSIS" sheetId="4" r:id="rId5"/>
    <sheet name="04_GEOGRAPHY_ANALYSIS" sheetId="5" r:id="rId6"/>
    <sheet name="05_AI_ANALYSIS" sheetId="6" r:id="rId7"/>
    <sheet name="06_MANAGEMENT_PRIORITIES" sheetId="7" r:id="rId8"/>
    <sheet name="07_15_BUSINESS_INSIGHTS" sheetId="8" r:id="rId9"/>
    <sheet name="08_RECRUITER_PROJECT_STORY" sheetId="9" r:id="rId10"/>
    <sheet name="09_SQL_QUESTIONS" sheetId="10" r:id="rId11"/>
    <sheet name="10_DASHBOARD_LAYOUT" sheetId="11" r:id="rId12"/>
    <sheet name="11_METHODOLOGY" sheetId="12" r:id="rId13"/>
  </sheets>
  <definedNames>
    <definedName name="_xlnm._FilterDatabase" localSheetId="2" hidden="1">'01_MASTER_ALL_DATA'!$A$4:$I$35</definedName>
    <definedName name="_xlnm._FilterDatabase" localSheetId="3" hidden="1">'02_FINANCIAL_ANALYSIS'!$A$4:$E$9</definedName>
    <definedName name="_xlnm._FilterDatabase" localSheetId="4" hidden="1">'03_INDUSTRY_ANALYSIS'!$A$4:$I$10</definedName>
    <definedName name="_xlnm._FilterDatabase" localSheetId="5" hidden="1">'04_GEOGRAPHY_ANALYSIS'!$A$4:$D$11</definedName>
    <definedName name="_xlnm._FilterDatabase" localSheetId="6" hidden="1">'05_AI_ANALYSIS'!$A$4:$D$10</definedName>
    <definedName name="_xlnm._FilterDatabase" localSheetId="7" hidden="1">'06_MANAGEMENT_PRIORITIES'!$A$4:$E$9</definedName>
    <definedName name="_xlnm._FilterDatabase" localSheetId="8" hidden="1">'07_15_BUSINESS_INSIGHTS'!$A$4:$E$19</definedName>
    <definedName name="_xlnm._FilterDatabase" localSheetId="9" hidden="1">'08_RECRUITER_PROJECT_STORY'!$A$4:$C$9</definedName>
    <definedName name="_xlnm._FilterDatabase" localSheetId="10" hidden="1">'09_SQL_QUESTIONS'!$A$4:$A$24</definedName>
    <definedName name="_xlnm._FilterDatabase" localSheetId="11" hidden="1">'10_DASHBOARD_LAYOUT'!$A$4:$D$9</definedName>
    <definedName name="_xlnm._FilterDatabase" localSheetId="12" hidden="1">'11_METHODOLOGY'!$A$4:$B$11</definedName>
    <definedName name="_xlnm.Print_Area" localSheetId="2">'01_MASTER_ALL_DATA'!$A$1:$I$35</definedName>
    <definedName name="_xlnm.Print_Area" localSheetId="3">'02_FINANCIAL_ANALYSIS'!$A$1:$E$9</definedName>
    <definedName name="_xlnm.Print_Area" localSheetId="4">'03_INDUSTRY_ANALYSIS'!$A$1:$I$10</definedName>
    <definedName name="_xlnm.Print_Area" localSheetId="5">'04_GEOGRAPHY_ANALYSIS'!$A$1:$D$11</definedName>
    <definedName name="_xlnm.Print_Area" localSheetId="6">'05_AI_ANALYSIS'!$A$1:$D$10</definedName>
    <definedName name="_xlnm.Print_Area" localSheetId="7">'06_MANAGEMENT_PRIORITIES'!$A$1:$E$9</definedName>
    <definedName name="_xlnm.Print_Area" localSheetId="8">'07_15_BUSINESS_INSIGHTS'!$A$1:$E$19</definedName>
    <definedName name="_xlnm.Print_Area" localSheetId="9">'08_RECRUITER_PROJECT_STORY'!$A$1:$C$9</definedName>
    <definedName name="_xlnm.Print_Area" localSheetId="10">'09_SQL_QUESTIONS'!$A$1:$A$24</definedName>
    <definedName name="_xlnm.Print_Area" localSheetId="11">'10_DASHBOARD_LAYOUT'!$A$1:$D$9</definedName>
    <definedName name="_xlnm.Print_Area" localSheetId="12">'11_METHODOLOGY'!$A$1:$B$11</definedName>
    <definedName name="_xlnm.Print_Area" localSheetId="0">Cover!$A$1:$H$17</definedName>
    <definedName name="_xlnm.Print_Area" localSheetId="1">Dashboard!$A$1:$L$37</definedName>
    <definedName name="_xlnm.Print_Titles" localSheetId="2">'01_MASTER_ALL_DATA'!$1:$4</definedName>
    <definedName name="_xlnm.Print_Titles" localSheetId="8">'07_15_BUSINESS_INSIGHTS'!$1:$4</definedName>
    <definedName name="_xlnm.Print_Titles" localSheetId="10">'09_SQL_QUESTIONS'!$1:$4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3" l="1"/>
  <c r="K36" i="13"/>
  <c r="K35" i="13"/>
  <c r="K34" i="13"/>
  <c r="K33" i="13"/>
  <c r="F37" i="13"/>
  <c r="D37" i="13"/>
  <c r="B37" i="13"/>
  <c r="A37" i="13"/>
  <c r="F36" i="13"/>
  <c r="D36" i="13"/>
  <c r="B36" i="13"/>
  <c r="A36" i="13"/>
  <c r="F35" i="13"/>
  <c r="D35" i="13"/>
  <c r="B35" i="13"/>
  <c r="A35" i="13"/>
  <c r="F34" i="13"/>
  <c r="D34" i="13"/>
  <c r="B34" i="13"/>
  <c r="A34" i="13"/>
  <c r="F33" i="13"/>
  <c r="D33" i="13"/>
  <c r="B33" i="13"/>
  <c r="A33" i="13"/>
  <c r="R2" i="13"/>
  <c r="S2" i="13"/>
  <c r="R3" i="13"/>
  <c r="S3" i="13"/>
  <c r="R4" i="13"/>
  <c r="S4" i="13"/>
  <c r="R5" i="13"/>
  <c r="S5" i="13"/>
  <c r="R6" i="13"/>
  <c r="S6" i="13"/>
  <c r="R7" i="13"/>
  <c r="S7" i="13"/>
  <c r="R8" i="13"/>
  <c r="S8" i="13"/>
  <c r="N2" i="13"/>
  <c r="O2" i="13"/>
  <c r="P2" i="13"/>
  <c r="N3" i="13"/>
  <c r="O3" i="13"/>
  <c r="P3" i="13"/>
  <c r="N4" i="13"/>
  <c r="O4" i="13"/>
  <c r="P4" i="13"/>
  <c r="N5" i="13"/>
  <c r="O5" i="13"/>
  <c r="P5" i="13"/>
  <c r="N6" i="13"/>
  <c r="O6" i="13"/>
  <c r="P6" i="13"/>
  <c r="N7" i="13"/>
  <c r="O7" i="13"/>
  <c r="P7" i="13"/>
  <c r="J7" i="13"/>
  <c r="K5" i="13"/>
  <c r="G7" i="13"/>
  <c r="H5" i="13"/>
  <c r="D7" i="13"/>
  <c r="E5" i="13"/>
  <c r="A7" i="13"/>
  <c r="B5" i="13"/>
</calcChain>
</file>

<file path=xl/sharedStrings.xml><?xml version="1.0" encoding="utf-8"?>
<sst xmlns="http://schemas.openxmlformats.org/spreadsheetml/2006/main" count="532" uniqueCount="333">
  <si>
    <t>Industry</t>
  </si>
  <si>
    <t>Revenue</t>
  </si>
  <si>
    <t>Geography</t>
  </si>
  <si>
    <t>BFSI</t>
  </si>
  <si>
    <t>North America</t>
  </si>
  <si>
    <t>Consumer Business</t>
  </si>
  <si>
    <t>United Kingdom</t>
  </si>
  <si>
    <t>Communication, Media and Technology</t>
  </si>
  <si>
    <t>Continental Europe</t>
  </si>
  <si>
    <t>Life Sciences and Healthcare</t>
  </si>
  <si>
    <t>APAC</t>
  </si>
  <si>
    <t>Manufacturing</t>
  </si>
  <si>
    <t>India</t>
  </si>
  <si>
    <t>Others</t>
  </si>
  <si>
    <t>Latin America</t>
  </si>
  <si>
    <t>MEA</t>
  </si>
  <si>
    <t>Analysis_Domain</t>
  </si>
  <si>
    <t>Data_Table</t>
  </si>
  <si>
    <t>Dimension</t>
  </si>
  <si>
    <t>Metric</t>
  </si>
  <si>
    <t>FY2026_Value</t>
  </si>
  <si>
    <t>Unit</t>
  </si>
  <si>
    <t>FY2025_Value</t>
  </si>
  <si>
    <t>YoY_or_Change</t>
  </si>
  <si>
    <t>Source</t>
  </si>
  <si>
    <t>Financial Performance</t>
  </si>
  <si>
    <t>Financials</t>
  </si>
  <si>
    <t>Revenue from operations</t>
  </si>
  <si>
    <t>FY2026</t>
  </si>
  <si>
    <t>₹ crore</t>
  </si>
  <si>
    <t>TCS FY2026 Annual Report</t>
  </si>
  <si>
    <t>EBIT before other income</t>
  </si>
  <si>
    <t>PAT attributable to shareholders</t>
  </si>
  <si>
    <t>EPS</t>
  </si>
  <si>
    <t>₹ per share</t>
  </si>
  <si>
    <t>EBIT margin</t>
  </si>
  <si>
    <t>%</t>
  </si>
  <si>
    <t>Net margin</t>
  </si>
  <si>
    <t>Industry Performance</t>
  </si>
  <si>
    <t>FY2026 Revenue</t>
  </si>
  <si>
    <t>FY2026 Margin</t>
  </si>
  <si>
    <t>Revenue Mix</t>
  </si>
  <si>
    <t>AI Transformation</t>
  </si>
  <si>
    <t>AI</t>
  </si>
  <si>
    <t>Annualised AI Services revenue</t>
  </si>
  <si>
    <t>US$2.3B</t>
  </si>
  <si>
    <t>AI transformation</t>
  </si>
  <si>
    <t>New-age services revenue</t>
  </si>
  <si>
    <t>US$11.5B</t>
  </si>
  <si>
    <t>Higher-order AI/ML proficiency</t>
  </si>
  <si>
    <t>people</t>
  </si>
  <si>
    <t>Learning hours</t>
  </si>
  <si>
    <t>million hours</t>
  </si>
  <si>
    <t>Competencies acquired</t>
  </si>
  <si>
    <t>million</t>
  </si>
  <si>
    <t>AI hackathon participants</t>
  </si>
  <si>
    <t>participants</t>
  </si>
  <si>
    <t>KPI</t>
  </si>
  <si>
    <t>Comparison</t>
  </si>
  <si>
    <t>Finding</t>
  </si>
  <si>
    <t>Next Analysis</t>
  </si>
  <si>
    <t>₹267,021 Cr</t>
  </si>
  <si>
    <t>4.6% YoY</t>
  </si>
  <si>
    <t>Positive growth</t>
  </si>
  <si>
    <t>Analyze industry/geography drivers</t>
  </si>
  <si>
    <t>EBIT</t>
  </si>
  <si>
    <t>₹66,838 Cr</t>
  </si>
  <si>
    <t>7.5% YoY</t>
  </si>
  <si>
    <t>EBIT grew faster than revenue</t>
  </si>
  <si>
    <t>Investigate margin resilience</t>
  </si>
  <si>
    <t>PAT</t>
  </si>
  <si>
    <t>₹52,820 Cr</t>
  </si>
  <si>
    <t>8.8% YoY</t>
  </si>
  <si>
    <t>PAT grew faster than revenue</t>
  </si>
  <si>
    <t>Monitor sustainability</t>
  </si>
  <si>
    <t>EBIT Margin</t>
  </si>
  <si>
    <t>25.0%</t>
  </si>
  <si>
    <t>24.3% FY2025</t>
  </si>
  <si>
    <t>Improved</t>
  </si>
  <si>
    <t>Compare segment margins</t>
  </si>
  <si>
    <t>Net Margin</t>
  </si>
  <si>
    <t>19.8%</t>
  </si>
  <si>
    <t>19.0% FY2025</t>
  </si>
  <si>
    <t>Track future trend</t>
  </si>
  <si>
    <t>FY2026_Revenue_₹Cr</t>
  </si>
  <si>
    <t>FY2025_Revenue_₹Cr</t>
  </si>
  <si>
    <t>YoY_Growth_%</t>
  </si>
  <si>
    <t>FY2026_Margin_%</t>
  </si>
  <si>
    <t>FY2025_Margin_%</t>
  </si>
  <si>
    <t>Revenue_Share_%</t>
  </si>
  <si>
    <t>Growth_Flag</t>
  </si>
  <si>
    <t>Margin_Change_pp</t>
  </si>
  <si>
    <t>Healthy</t>
  </si>
  <si>
    <t>Decline</t>
  </si>
  <si>
    <t>Low Growth</t>
  </si>
  <si>
    <t>High Growth</t>
  </si>
  <si>
    <t>Revenue_Mix_%</t>
  </si>
  <si>
    <t>Rank</t>
  </si>
  <si>
    <t>Top_3</t>
  </si>
  <si>
    <t>Unit_or_Context</t>
  </si>
  <si>
    <t>Recruiter_Relevance</t>
  </si>
  <si>
    <t>Strategic growth KPI</t>
  </si>
  <si>
    <t>New-age services scale</t>
  </si>
  <si>
    <t>AI workforce capability</t>
  </si>
  <si>
    <t>Reskilling investment</t>
  </si>
  <si>
    <t>Capability building</t>
  </si>
  <si>
    <t>AI ecosystem participation</t>
  </si>
  <si>
    <t>Priority</t>
  </si>
  <si>
    <t>Area</t>
  </si>
  <si>
    <t>Evidence</t>
  </si>
  <si>
    <t>Priority_Level</t>
  </si>
  <si>
    <t>Recommended_Analysis</t>
  </si>
  <si>
    <t>1</t>
  </si>
  <si>
    <t>CMT</t>
  </si>
  <si>
    <t>Revenue declined 14.0%</t>
  </si>
  <si>
    <t>High</t>
  </si>
  <si>
    <t>Deep-dive demand, portfolio mix and account performance</t>
  </si>
  <si>
    <t>2</t>
  </si>
  <si>
    <t>Largest revenue pool: ₹103,363 Cr</t>
  </si>
  <si>
    <t>Protect core and expand AI-led services</t>
  </si>
  <si>
    <t>3</t>
  </si>
  <si>
    <t>48.6% revenue mix</t>
  </si>
  <si>
    <t>Monitor geographic concentration</t>
  </si>
  <si>
    <t>4</t>
  </si>
  <si>
    <t>AI Services</t>
  </si>
  <si>
    <t>US$2.3B annualised revenue</t>
  </si>
  <si>
    <t>Track monetisation against AI capability</t>
  </si>
  <si>
    <t>5</t>
  </si>
  <si>
    <t>30.3% segment margin</t>
  </si>
  <si>
    <t>Medium</t>
  </si>
  <si>
    <t>Benchmark operating practices</t>
  </si>
  <si>
    <t>#</t>
  </si>
  <si>
    <t>Theme</t>
  </si>
  <si>
    <t>What the report shows</t>
  </si>
  <si>
    <t>Analytical interpretation</t>
  </si>
  <si>
    <t>Analyst action</t>
  </si>
  <si>
    <t>Overall growth</t>
  </si>
  <si>
    <t>Revenue reached ₹267,021 Cr, up 4.6% YoY.</t>
  </si>
  <si>
    <t>Growth remained positive but was slower than the prior-year reported 6.0% pace.</t>
  </si>
  <si>
    <t>Monitor growth recovery by industry and geography.</t>
  </si>
  <si>
    <t>Profitability</t>
  </si>
  <si>
    <t>EBIT reached ₹66,838 Cr and EBIT margin was 25.0%.</t>
  </si>
  <si>
    <t>EBIT grew faster than revenue (7.5% vs 4.6%).</t>
  </si>
  <si>
    <t>Investigate the operating levers behind margin resilience.</t>
  </si>
  <si>
    <t>Net profitability</t>
  </si>
  <si>
    <t>PAT was ₹52,820 Cr with 19.8% net margin.</t>
  </si>
  <si>
    <t>PAT growth was 8.8%, ahead of revenue growth.</t>
  </si>
  <si>
    <t>Track whether margin expansion remains sustainable.</t>
  </si>
  <si>
    <t>Largest industry</t>
  </si>
  <si>
    <t>BFSI generated ₹103,363 Cr, the largest industry revenue pool.</t>
  </si>
  <si>
    <t>It represented about 38.7% of reported revenue mix.</t>
  </si>
  <si>
    <t>BFSI remains a major concentration and growth driver.</t>
  </si>
  <si>
    <t>Fastest listed industry growth</t>
  </si>
  <si>
    <t>Others grew 19.0% YoY.</t>
  </si>
  <si>
    <t>It was the highest growth rate among the listed industry verticals.</t>
  </si>
  <si>
    <t>Identify which businesses sit inside Others and their growth drivers.</t>
  </si>
  <si>
    <t>Industry pressure</t>
  </si>
  <si>
    <t>Communication, Media and Technology revenue fell 14.0%.</t>
  </si>
  <si>
    <t>It was the only listed industry with negative YoY growth.</t>
  </si>
  <si>
    <t>This is a priority area for diagnostic analysis.</t>
  </si>
  <si>
    <t>CMT margin</t>
  </si>
  <si>
    <t>CMT margin increased to 29.1% from 20.9%.</t>
  </si>
  <si>
    <t>Margin improved despite revenue contraction.</t>
  </si>
  <si>
    <t>Study mix, productivity and cost factors before drawing conclusions.</t>
  </si>
  <si>
    <t>Manufacturing profitability</t>
  </si>
  <si>
    <t>Manufacturing margin was 30.3%.</t>
  </si>
  <si>
    <t>It was the highest FY2026 segment margin among the listed verticals.</t>
  </si>
  <si>
    <t>Compare its operating model with lower-margin verticals.</t>
  </si>
  <si>
    <t>Largest geography</t>
  </si>
  <si>
    <t>North America accounted for 48.6% of revenue mix.</t>
  </si>
  <si>
    <t>It is the largest geographic revenue pool.</t>
  </si>
  <si>
    <t>Geographic concentration is important for portfolio risk analysis.</t>
  </si>
  <si>
    <t>Second geography</t>
  </si>
  <si>
    <t>UK represented 17.4% of revenue mix.</t>
  </si>
  <si>
    <t>UK was the second-largest listed geography.</t>
  </si>
  <si>
    <t>Track regional growth and demand signals separately.</t>
  </si>
  <si>
    <t>AI monetisation</t>
  </si>
  <si>
    <t>Annualised AI Services revenue reached US$2.3B.</t>
  </si>
  <si>
    <t>The report links this to the AI-led transformation strategy.</t>
  </si>
  <si>
    <t>Use AI revenue as a strategic KPI rather than only a technology metric.</t>
  </si>
  <si>
    <t>AI talent</t>
  </si>
  <si>
    <t>270,000 employees had higher-order AI/ML proficiency.</t>
  </si>
  <si>
    <t>The report highlights reskilling and AI capability building.</t>
  </si>
  <si>
    <t>Compare talent capability with AI revenue growth in future periods.</t>
  </si>
  <si>
    <t>Learning scale</t>
  </si>
  <si>
    <t>Learning hours reached 69 million.</t>
  </si>
  <si>
    <t>Competencies acquired were 5.2 million.</t>
  </si>
  <si>
    <t>Learning investment is a measurable transformation input.</t>
  </si>
  <si>
    <t>AI ecosystem</t>
  </si>
  <si>
    <t>TCS expanded strategic collaborations across AI ecosystem players.</t>
  </si>
  <si>
    <t>The report names OpenAI, AMD, Google Cloud, NVIDIA, ServiceNow, GitLab and others.</t>
  </si>
  <si>
    <t>Partnership strategy supports the Build-Partner-Acquire approach.</t>
  </si>
  <si>
    <t>Infrastructure strategy</t>
  </si>
  <si>
    <t>TCS launched HyperVault and discussed AI infrastructure expansion in India.</t>
  </si>
  <si>
    <t>The report describes an initial 1GW data-centre capacity plan and a 100MW initial OpenAI partnership phase.</t>
  </si>
  <si>
    <t>Infrastructure is positioned as part of the broader Infrastructure-to-Intelligence strategy.</t>
  </si>
  <si>
    <t>Stage</t>
  </si>
  <si>
    <t>Business Question</t>
  </si>
  <si>
    <t>Data Used</t>
  </si>
  <si>
    <t>Problem</t>
  </si>
  <si>
    <t>How did TCS perform in FY2026?</t>
  </si>
  <si>
    <t>Financial KPIs</t>
  </si>
  <si>
    <t>Segmentation</t>
  </si>
  <si>
    <t>Which industries and geographies drove the business?</t>
  </si>
  <si>
    <t>Industry + Geography</t>
  </si>
  <si>
    <t>Diagnosis</t>
  </si>
  <si>
    <t>Where are the strongest and weakest signals?</t>
  </si>
  <si>
    <t>Growth + Margin</t>
  </si>
  <si>
    <t>Transformation</t>
  </si>
  <si>
    <t>How significant is AI?</t>
  </si>
  <si>
    <t>AI metrics</t>
  </si>
  <si>
    <t>Decision Support</t>
  </si>
  <si>
    <t>What should management investigate next?</t>
  </si>
  <si>
    <t>Priority analysis</t>
  </si>
  <si>
    <t>SQL_Interview_Questions</t>
  </si>
  <si>
    <t>1. Return FY2026 revenue, EBIT, PAT and EPS.</t>
  </si>
  <si>
    <t>2. Calculate revenue YoY growth from FY2025 to FY2026.</t>
  </si>
  <si>
    <t>3. Rank industry verticals by FY2026 revenue.</t>
  </si>
  <si>
    <t>4. Rank industries by YoY growth.</t>
  </si>
  <si>
    <t>5. Find industries with negative YoY growth.</t>
  </si>
  <si>
    <t>6. Find the highest FY2026 segment margin.</t>
  </si>
  <si>
    <t>7. Calculate each industry's share of total FY2026 revenue.</t>
  </si>
  <si>
    <t>8. Compare FY2025 vs FY2026 segment margins and calculate change.</t>
  </si>
  <si>
    <t>9. Rank geographies by revenue mix.</t>
  </si>
  <si>
    <t>10. Identify the top 3 geographies and their combined revenue mix.</t>
  </si>
  <si>
    <t>11. Calculate the gap between North America and India revenue mix.</t>
  </si>
  <si>
    <t>12. Compare EBIT growth vs revenue growth.</t>
  </si>
  <si>
    <t>13. Compare PAT growth vs revenue growth.</t>
  </si>
  <si>
    <t>14. Calculate the implied FY2026 EBIT from revenue × EBIT margin and validate against reported EBIT.</t>
  </si>
  <si>
    <t>15. Create a CASE-based industry health flag: growth &lt; 0 = 'Decline'; 0–5% = 'Low Growth'; 5–10% = 'Healthy'; &gt;10% = 'High Growth'.</t>
  </si>
  <si>
    <t>16. Find industries where FY2026 margin improved YoY.</t>
  </si>
  <si>
    <t>17. Find industries where revenue declined but margin improved.</t>
  </si>
  <si>
    <t>18. Build a geography concentration KPI for North America + UK.</t>
  </si>
  <si>
    <t>19. Create a management priority list using negative growth and margin change.</t>
  </si>
  <si>
    <t>20. Produce a final executive summary table using SQL CTEs.</t>
  </si>
  <si>
    <t>Page</t>
  </si>
  <si>
    <t>Dashboard Name</t>
  </si>
  <si>
    <t>Visuals / KPIs</t>
  </si>
  <si>
    <t>Recruiter Signal</t>
  </si>
  <si>
    <t>Page 1</t>
  </si>
  <si>
    <t>Executive Overview</t>
  </si>
  <si>
    <t>Revenue, EBIT, PAT, margins, growth, headline KPI cards</t>
  </si>
  <si>
    <t>Recruiter sees business understanding first</t>
  </si>
  <si>
    <t>Page 2</t>
  </si>
  <si>
    <t>Revenue by industry, YoY growth, segment margin, growth-vs-margin matrix</t>
  </si>
  <si>
    <t>Shows analytical diagnosis</t>
  </si>
  <si>
    <t>Page 3</t>
  </si>
  <si>
    <t>Revenue mix, top regions, concentration</t>
  </si>
  <si>
    <t>Shows segmentation skills</t>
  </si>
  <si>
    <t>Page 4</t>
  </si>
  <si>
    <t>AI revenue, AI talent, learning, competencies, ecosystem</t>
  </si>
  <si>
    <t>Shows technology/business linkage</t>
  </si>
  <si>
    <t>Page 5</t>
  </si>
  <si>
    <t>Management Insights</t>
  </si>
  <si>
    <t>15 insights, risks, opportunities, recommended actions</t>
  </si>
  <si>
    <t>Shows communication and decision support</t>
  </si>
  <si>
    <t>TCS Integrated Annual Report 2025-26 (FY2026), supplied PDF</t>
  </si>
  <si>
    <t>Reporting period</t>
  </si>
  <si>
    <t>April 1, 2025 – March 31, 2026</t>
  </si>
  <si>
    <t>Data type</t>
  </si>
  <si>
    <t>Publicly reported company-level data</t>
  </si>
  <si>
    <t>Confidential data</t>
  </si>
  <si>
    <t>Not used</t>
  </si>
  <si>
    <t>Financial units</t>
  </si>
  <si>
    <t>₹ crore for INR financial statements; US$ billion where the report states USD</t>
  </si>
  <si>
    <t>Important limitation</t>
  </si>
  <si>
    <t>The report does not provide project-level client transactions, internal costs, employee-level records or confidential operational data.</t>
  </si>
  <si>
    <t>Recommended stack</t>
  </si>
  <si>
    <t>Excel → SQL → Power BI → Portfolio presentation</t>
  </si>
  <si>
    <t>TCS FY2026 Master Data</t>
  </si>
  <si>
    <t>Consolidated financial, industry, geography and AI metrics from the annual report.</t>
  </si>
  <si>
    <t>Headline FY2026 financial results, comparisons and management interpretation.</t>
  </si>
  <si>
    <t>Revenue, growth, margin and share comparison across six industry verticals.</t>
  </si>
  <si>
    <t>Geographic Mix</t>
  </si>
  <si>
    <t>FY2026 revenue concentration and ranking across seven reported geographies.</t>
  </si>
  <si>
    <t>Commercial scale, workforce capability and learning indicators for FY2026.</t>
  </si>
  <si>
    <t>Management Priorities</t>
  </si>
  <si>
    <t>Decision-focused issues ranked by urgency, evidence and recommended analysis.</t>
  </si>
  <si>
    <t>15 Business Insights</t>
  </si>
  <si>
    <t>Evidence, interpretation and analyst actions distilled from the FY2026 report.</t>
  </si>
  <si>
    <t>Recruiter Project Story</t>
  </si>
  <si>
    <t>A concise analytical storyline from business question to decision support.</t>
  </si>
  <si>
    <t>SQL Interview Questions</t>
  </si>
  <si>
    <t>Twenty practical questions based on the TCS FY2026 analytical dataset.</t>
  </si>
  <si>
    <t>Dashboard Blueprint</t>
  </si>
  <si>
    <t>Recommended executive dashboard pages, visuals and recruiter signals.</t>
  </si>
  <si>
    <t>Methodology &amp; Sources</t>
  </si>
  <si>
    <t>Scope, reporting period, calculations and analytical limitations.</t>
  </si>
  <si>
    <t>TCS FY2026 Executive Dashboard</t>
  </si>
  <si>
    <t>Financial performance, industry dynamics, geographic concentration and AI transformation</t>
  </si>
  <si>
    <t>REVENUE</t>
  </si>
  <si>
    <t>STORY IN BRIEF</t>
  </si>
  <si>
    <t>TCS delivered positive FY2026 growth with revenue up 4.6%, while EBIT and PAT grew faster at 7.5% and 8.8%. BFSI remains the core revenue engine, but CMT contracted 14.0% even as its margin improved sharply. North America contributes 48.6% of revenue mix, creating concentration to monitor, while US$2.3B in annualised AI services revenue and 270,000 AI-proficient employees show meaningful transformation scale.</t>
  </si>
  <si>
    <t>INDUSTRY REVENUE</t>
  </si>
  <si>
    <t>GEOGRAPHIC MIX</t>
  </si>
  <si>
    <t>Annualised AI services revenue</t>
  </si>
  <si>
    <t>AI/ML proficient employees</t>
  </si>
  <si>
    <t>TCS FY2026 Business Analysis</t>
  </si>
  <si>
    <t>Professional workbook covering performance, transformation, risks and decision support</t>
  </si>
  <si>
    <t>CONTENTS</t>
  </si>
  <si>
    <t>Dashboard</t>
  </si>
  <si>
    <t>Executive KPIs, industry, geography, priorities and AI summary.</t>
  </si>
  <si>
    <t>01_MASTER_ALL_DATA</t>
  </si>
  <si>
    <t>Consolidated source metrics used throughout the workbook.</t>
  </si>
  <si>
    <t>02_FINANCIAL_ANALYSIS</t>
  </si>
  <si>
    <t>Headline revenue, profit, margin and growth interpretation.</t>
  </si>
  <si>
    <t>03_INDUSTRY_ANALYSIS</t>
  </si>
  <si>
    <t>Vertical revenue, growth, share and margin analysis.</t>
  </si>
  <si>
    <t>04_GEOGRAPHY_ANALYSIS</t>
  </si>
  <si>
    <t>Revenue mix, ranking and concentration by geography.</t>
  </si>
  <si>
    <t>05_AI_ANALYSIS</t>
  </si>
  <si>
    <t>AI monetisation, talent, learning and capability indicators.</t>
  </si>
  <si>
    <t>06_MANAGEMENT_PRIORITIES</t>
  </si>
  <si>
    <t>Ranked issues and recommended management analysis.</t>
  </si>
  <si>
    <t>07_15_BUSINESS_INSIGHTS</t>
  </si>
  <si>
    <t>Fifteen evidence-based findings and analyst actions.</t>
  </si>
  <si>
    <t>08_RECRUITER_PROJECT_STORY</t>
  </si>
  <si>
    <t>End-to-end business analytics project narrative.</t>
  </si>
  <si>
    <t>09_SQL_QUESTIONS</t>
  </si>
  <si>
    <t>Twenty SQL interview questions based on the dataset.</t>
  </si>
  <si>
    <t>10_DASHBOARD_LAYOUT</t>
  </si>
  <si>
    <t>Blueprint for a multi-page reporting solution.</t>
  </si>
  <si>
    <t>11_METHODOLOGY</t>
  </si>
  <si>
    <t>Source, scope, period and calculation methodology.</t>
  </si>
  <si>
    <t>FY2025</t>
  </si>
  <si>
    <t>01  MANAGEMENT PRIORITY MATRIX</t>
  </si>
  <si>
    <t>02  AI TRANSFORMATION SCORECARD</t>
  </si>
  <si>
    <t>RANK</t>
  </si>
  <si>
    <t>FOCUS AREA</t>
  </si>
  <si>
    <t>WHY IT MATTERS</t>
  </si>
  <si>
    <t>LEVEL</t>
  </si>
  <si>
    <t>CAPABILITY METRIC</t>
  </si>
  <si>
    <t>FY2026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</si>
</sst>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"/>
    <numFmt numFmtId="165" formatCode="0.0"/>
    <numFmt numFmtId="166" formatCode="0.0&quot;%&quot;"/>
    <numFmt numFmtId="167" formatCode="\₹#,##0&quot; Cr&quot;"/>
    <numFmt numFmtId="168" formatCode="0.0&quot; pp&quot;"/>
    <numFmt numFmtId="169" formatCode="0.0%\ &quot;YoY&quot;"/>
    <numFmt numFmtId="170" formatCode="\₹0.00"/>
    <numFmt numFmtId="171" formatCode="#,##0&quot; people&quot;"/>
    <numFmt numFmtId="172" formatCode="0.0&quot;M hours&quot;"/>
    <numFmt numFmtId="173" formatCode="0.0&quot;M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i/>
      <sz val="11"/>
      <color rgb="FF5B6573"/>
      <name val="Aptos"/>
    </font>
    <font>
      <i/>
      <sz val="10"/>
      <color rgb="FF5B6573"/>
      <name val="Aptos"/>
    </font>
    <font>
      <b/>
      <sz val="11"/>
      <color rgb="FFC00000"/>
      <name val="Aptos"/>
    </font>
    <font>
      <sz val="11"/>
      <color rgb="FF1F2937"/>
      <name val="Aptos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5B6573"/>
      <name val="Calibri"/>
      <family val="2"/>
      <scheme val="minor"/>
    </font>
    <font>
      <b/>
      <sz val="11"/>
      <color rgb="FF007C83"/>
      <name val="Calibri"/>
      <family val="2"/>
      <scheme val="minor"/>
    </font>
    <font>
      <b/>
      <sz val="22"/>
      <color rgb="FF16324F"/>
      <name val="Aptos"/>
    </font>
    <font>
      <b/>
      <sz val="11"/>
      <color rgb="FF1B7F5A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20"/>
      <color rgb="FFFFFFFF"/>
      <name val="Aptos"/>
    </font>
    <font>
      <b/>
      <sz val="11"/>
      <color rgb="FF007C83"/>
      <name val="Aptos"/>
    </font>
    <font>
      <b/>
      <sz val="18"/>
      <color rgb="FFFFFFFF"/>
      <name val="Aptos"/>
      <family val="2"/>
    </font>
    <font>
      <b/>
      <sz val="12"/>
      <color rgb="FFFFFFFF"/>
      <name val="Aptos"/>
    </font>
    <font>
      <b/>
      <sz val="9"/>
      <color rgb="FFFFFFFF"/>
      <name val="Aptos"/>
    </font>
    <font>
      <b/>
      <sz val="14"/>
      <color rgb="FF007C83"/>
      <name val="Aptos"/>
    </font>
    <font>
      <b/>
      <sz val="11"/>
      <color rgb="FF1F2937"/>
      <name val="Aptos"/>
    </font>
    <font>
      <sz val="9"/>
      <color rgb="FF1F2937"/>
      <name val="Aptos"/>
    </font>
    <font>
      <b/>
      <sz val="11"/>
      <color rgb="FFC2413B"/>
      <name val="Aptos"/>
    </font>
    <font>
      <b/>
      <sz val="11"/>
      <color rgb="FFA66400"/>
      <name val="Aptos"/>
    </font>
    <font>
      <i/>
      <sz val="10"/>
      <color rgb="FF5B6573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3D6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7E0E8"/>
      </bottom>
      <diagonal/>
    </border>
    <border>
      <left/>
      <right/>
      <top/>
      <bottom style="thin">
        <color rgb="FF007C83"/>
      </bottom>
      <diagonal/>
    </border>
    <border>
      <left/>
      <right/>
      <top style="thin">
        <color rgb="FFD8E3EB"/>
      </top>
      <bottom/>
      <diagonal/>
    </border>
    <border>
      <left/>
      <right/>
      <top style="thin">
        <color rgb="FFB8CBD8"/>
      </top>
      <bottom/>
      <diagonal/>
    </border>
    <border>
      <left/>
      <right/>
      <top style="thin">
        <color rgb="FFD8E3EB"/>
      </top>
      <bottom style="thin">
        <color rgb="FFB8CBD8"/>
      </bottom>
      <diagonal/>
    </border>
    <border>
      <left style="thin">
        <color rgb="FFB8CBD8"/>
      </left>
      <right/>
      <top style="thin">
        <color rgb="FFB8CBD8"/>
      </top>
      <bottom/>
      <diagonal/>
    </border>
    <border>
      <left style="thin">
        <color rgb="FFB8CBD8"/>
      </left>
      <right/>
      <top/>
      <bottom/>
      <diagonal/>
    </border>
    <border>
      <left style="thin">
        <color rgb="FFB8CBD8"/>
      </left>
      <right/>
      <top style="thin">
        <color rgb="FFD8E3EB"/>
      </top>
      <bottom/>
      <diagonal/>
    </border>
    <border>
      <left style="thin">
        <color rgb="FFB8CBD8"/>
      </left>
      <right/>
      <top style="thin">
        <color rgb="FFD8E3EB"/>
      </top>
      <bottom style="thin">
        <color rgb="FFB8CBD8"/>
      </bottom>
      <diagonal/>
    </border>
    <border>
      <left/>
      <right style="thin">
        <color rgb="FFB8CBD8"/>
      </right>
      <top style="thin">
        <color rgb="FFB8CBD8"/>
      </top>
      <bottom/>
      <diagonal/>
    </border>
    <border>
      <left/>
      <right style="thin">
        <color rgb="FFB8CBD8"/>
      </right>
      <top/>
      <bottom/>
      <diagonal/>
    </border>
    <border>
      <left/>
      <right style="thin">
        <color rgb="FFB8CBD8"/>
      </right>
      <top style="thin">
        <color rgb="FFD8E3EB"/>
      </top>
      <bottom/>
      <diagonal/>
    </border>
    <border>
      <left/>
      <right style="thin">
        <color rgb="FFB8CBD8"/>
      </right>
      <top style="thin">
        <color rgb="FFD8E3EB"/>
      </top>
      <bottom style="thin">
        <color rgb="FFB8CBD8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3" fillId="2" borderId="0" xfId="0" applyFont="1" applyFill="1"/>
    <xf numFmtId="0" fontId="5" fillId="0" borderId="0" xfId="0" applyFont="1"/>
    <xf numFmtId="0" fontId="1" fillId="0" borderId="1" xfId="0" applyFont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4" borderId="0" xfId="0" applyNumberFormat="1" applyFont="1" applyFill="1" applyAlignment="1">
      <alignment vertical="center"/>
    </xf>
    <xf numFmtId="167" fontId="1" fillId="0" borderId="1" xfId="0" applyNumberFormat="1" applyFont="1" applyBorder="1" applyAlignment="1">
      <alignment vertical="center"/>
    </xf>
    <xf numFmtId="167" fontId="1" fillId="4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4" borderId="2" xfId="0" applyNumberFormat="1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4" borderId="2" xfId="0" applyNumberFormat="1" applyFont="1" applyFill="1" applyBorder="1" applyAlignment="1">
      <alignment vertical="center"/>
    </xf>
    <xf numFmtId="166" fontId="6" fillId="5" borderId="0" xfId="0" applyNumberFormat="1" applyFont="1" applyFill="1" applyAlignment="1">
      <alignment vertical="center"/>
    </xf>
    <xf numFmtId="168" fontId="7" fillId="0" borderId="1" xfId="0" applyNumberFormat="1" applyFont="1" applyBorder="1" applyAlignment="1">
      <alignment vertical="center"/>
    </xf>
    <xf numFmtId="168" fontId="7" fillId="4" borderId="0" xfId="0" applyNumberFormat="1" applyFont="1" applyFill="1" applyAlignment="1">
      <alignment vertical="center"/>
    </xf>
    <xf numFmtId="168" fontId="7" fillId="0" borderId="0" xfId="0" applyNumberFormat="1" applyFont="1" applyAlignment="1">
      <alignment vertical="center"/>
    </xf>
    <xf numFmtId="168" fontId="7" fillId="4" borderId="2" xfId="0" applyNumberFormat="1" applyFont="1" applyFill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0" fontId="1" fillId="6" borderId="0" xfId="0" applyFont="1" applyFill="1"/>
    <xf numFmtId="0" fontId="1" fillId="4" borderId="0" xfId="0" applyFont="1" applyFill="1"/>
    <xf numFmtId="167" fontId="12" fillId="6" borderId="0" xfId="0" applyNumberFormat="1" applyFont="1" applyFill="1" applyAlignment="1">
      <alignment horizontal="center"/>
    </xf>
    <xf numFmtId="167" fontId="12" fillId="4" borderId="0" xfId="0" applyNumberFormat="1" applyFont="1" applyFill="1" applyAlignment="1">
      <alignment horizontal="center"/>
    </xf>
    <xf numFmtId="170" fontId="12" fillId="4" borderId="0" xfId="0" applyNumberFormat="1" applyFont="1" applyFill="1" applyAlignment="1">
      <alignment horizontal="center"/>
    </xf>
    <xf numFmtId="0" fontId="17" fillId="0" borderId="0" xfId="0" applyFont="1"/>
    <xf numFmtId="0" fontId="17" fillId="4" borderId="0" xfId="0" applyFont="1" applyFill="1"/>
    <xf numFmtId="0" fontId="14" fillId="3" borderId="0" xfId="0" applyFont="1" applyFill="1"/>
    <xf numFmtId="0" fontId="15" fillId="7" borderId="0" xfId="0" applyFont="1" applyFill="1" applyAlignment="1">
      <alignment wrapText="1"/>
    </xf>
    <xf numFmtId="0" fontId="8" fillId="8" borderId="0" xfId="0" applyFont="1" applyFill="1"/>
    <xf numFmtId="0" fontId="9" fillId="2" borderId="0" xfId="0" applyFont="1" applyFill="1"/>
    <xf numFmtId="0" fontId="10" fillId="0" borderId="0" xfId="0" applyFont="1"/>
    <xf numFmtId="0" fontId="11" fillId="0" borderId="0" xfId="0" applyFont="1" applyAlignment="1">
      <alignment horizontal="center"/>
    </xf>
    <xf numFmtId="169" fontId="13" fillId="0" borderId="3" xfId="0" applyNumberFormat="1" applyFont="1" applyBorder="1" applyAlignment="1">
      <alignment horizontal="center"/>
    </xf>
    <xf numFmtId="0" fontId="15" fillId="0" borderId="0" xfId="0" applyFont="1" applyAlignment="1">
      <alignment wrapText="1"/>
    </xf>
    <xf numFmtId="0" fontId="15" fillId="4" borderId="0" xfId="0" applyFont="1" applyFill="1" applyAlignment="1">
      <alignment wrapText="1"/>
    </xf>
    <xf numFmtId="0" fontId="16" fillId="2" borderId="0" xfId="0" applyFont="1" applyFill="1"/>
    <xf numFmtId="0" fontId="4" fillId="0" borderId="0" xfId="0" applyFont="1"/>
    <xf numFmtId="0" fontId="2" fillId="3" borderId="0" xfId="0" applyFont="1" applyFill="1"/>
    <xf numFmtId="0" fontId="3" fillId="2" borderId="0" xfId="0" applyFont="1" applyFill="1"/>
    <xf numFmtId="0" fontId="5" fillId="0" borderId="0" xfId="0" applyFont="1"/>
    <xf numFmtId="0" fontId="18" fillId="2" borderId="0" xfId="0" applyFont="1" applyFill="1"/>
    <xf numFmtId="3" fontId="0" fillId="0" borderId="0" xfId="0" applyNumberFormat="1"/>
    <xf numFmtId="166" fontId="0" fillId="0" borderId="0" xfId="0" applyNumberFormat="1"/>
    <xf numFmtId="0" fontId="19" fillId="2" borderId="7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0" fontId="1" fillId="9" borderId="0" xfId="0" applyFont="1" applyFill="1"/>
    <xf numFmtId="0" fontId="20" fillId="3" borderId="8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0" fontId="20" fillId="8" borderId="12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 vertical="center"/>
    </xf>
    <xf numFmtId="0" fontId="22" fillId="10" borderId="0" xfId="0" applyFont="1" applyFill="1" applyBorder="1" applyAlignment="1">
      <alignment vertical="center"/>
    </xf>
    <xf numFmtId="0" fontId="23" fillId="10" borderId="0" xfId="0" applyFont="1" applyFill="1" applyBorder="1" applyAlignment="1">
      <alignment vertical="center" wrapText="1"/>
    </xf>
    <xf numFmtId="0" fontId="24" fillId="11" borderId="1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wrapText="1"/>
    </xf>
    <xf numFmtId="0" fontId="7" fillId="6" borderId="0" xfId="0" applyFont="1" applyFill="1" applyBorder="1" applyAlignment="1">
      <alignment wrapText="1"/>
    </xf>
    <xf numFmtId="0" fontId="21" fillId="6" borderId="0" xfId="0" applyFont="1" applyFill="1" applyBorder="1" applyAlignment="1">
      <alignment horizontal="right" vertical="center"/>
    </xf>
    <xf numFmtId="0" fontId="21" fillId="6" borderId="12" xfId="0" applyFont="1" applyFill="1" applyBorder="1" applyAlignment="1">
      <alignment horizontal="right" vertical="center"/>
    </xf>
    <xf numFmtId="0" fontId="21" fillId="9" borderId="9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vertical="center"/>
    </xf>
    <xf numFmtId="0" fontId="23" fillId="9" borderId="4" xfId="0" applyFont="1" applyFill="1" applyBorder="1" applyAlignment="1">
      <alignment vertical="center" wrapText="1"/>
    </xf>
    <xf numFmtId="0" fontId="24" fillId="11" borderId="13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0" fontId="21" fillId="9" borderId="4" xfId="0" applyFont="1" applyFill="1" applyBorder="1" applyAlignment="1">
      <alignment horizontal="right" vertical="center"/>
    </xf>
    <xf numFmtId="0" fontId="21" fillId="9" borderId="13" xfId="0" applyFont="1" applyFill="1" applyBorder="1" applyAlignment="1">
      <alignment horizontal="right" vertical="center"/>
    </xf>
    <xf numFmtId="0" fontId="21" fillId="10" borderId="9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vertical="center"/>
    </xf>
    <xf numFmtId="0" fontId="23" fillId="10" borderId="4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171" fontId="21" fillId="6" borderId="4" xfId="0" applyNumberFormat="1" applyFont="1" applyFill="1" applyBorder="1" applyAlignment="1">
      <alignment horizontal="right" vertical="center"/>
    </xf>
    <xf numFmtId="171" fontId="21" fillId="6" borderId="13" xfId="0" applyNumberFormat="1" applyFont="1" applyFill="1" applyBorder="1" applyAlignment="1">
      <alignment horizontal="right" vertical="center"/>
    </xf>
    <xf numFmtId="172" fontId="21" fillId="9" borderId="4" xfId="0" applyNumberFormat="1" applyFont="1" applyFill="1" applyBorder="1" applyAlignment="1">
      <alignment horizontal="right" vertical="center"/>
    </xf>
    <xf numFmtId="172" fontId="21" fillId="9" borderId="13" xfId="0" applyNumberFormat="1" applyFont="1" applyFill="1" applyBorder="1" applyAlignment="1">
      <alignment horizontal="right" vertical="center"/>
    </xf>
    <xf numFmtId="0" fontId="21" fillId="10" borderId="10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vertical="center"/>
    </xf>
    <xf numFmtId="0" fontId="23" fillId="10" borderId="6" xfId="0" applyFont="1" applyFill="1" applyBorder="1" applyAlignment="1">
      <alignment vertical="center" wrapText="1"/>
    </xf>
    <xf numFmtId="0" fontId="25" fillId="12" borderId="14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wrapText="1"/>
    </xf>
    <xf numFmtId="0" fontId="7" fillId="6" borderId="6" xfId="0" applyFont="1" applyFill="1" applyBorder="1" applyAlignment="1">
      <alignment wrapText="1"/>
    </xf>
    <xf numFmtId="173" fontId="21" fillId="6" borderId="6" xfId="0" applyNumberFormat="1" applyFont="1" applyFill="1" applyBorder="1" applyAlignment="1">
      <alignment horizontal="right" vertical="center"/>
    </xf>
    <xf numFmtId="173" fontId="21" fillId="6" borderId="14" xfId="0" applyNumberFormat="1" applyFont="1" applyFill="1" applyBorder="1" applyAlignment="1">
      <alignment horizontal="right" vertical="center"/>
    </xf>
    <xf numFmtId="0" fontId="2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 vs FY2025 Revenue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FY2026</c:v>
                </c:pt>
              </c:strCache>
            </c:strRef>
          </c:tx>
          <c:spPr>
            <a:solidFill>
              <a:srgbClr val="9CC2E5"/>
            </a:solidFill>
            <a:ln>
              <a:noFill/>
            </a:ln>
            <a:effectLst/>
          </c:spPr>
          <c:invertIfNegative val="0"/>
          <c:cat>
            <c:strRef>
              <c:f>Dashboard!$N$2:$N$7</c:f>
              <c:strCache>
                <c:ptCount val="6"/>
                <c:pt idx="0">
                  <c:v>BFSI</c:v>
                </c:pt>
                <c:pt idx="1">
                  <c:v>Consumer Business</c:v>
                </c:pt>
                <c:pt idx="2">
                  <c:v>Communication, Media and Technology</c:v>
                </c:pt>
                <c:pt idx="3">
                  <c:v>Life Sciences and Healthcare</c:v>
                </c:pt>
                <c:pt idx="4">
                  <c:v>Manufacturing</c:v>
                </c:pt>
                <c:pt idx="5">
                  <c:v>Others</c:v>
                </c:pt>
              </c:strCache>
            </c:strRef>
          </c:cat>
          <c:val>
            <c:numRef>
              <c:f>Dashboard!$O$2:$O$7</c:f>
              <c:numCache>
                <c:formatCode>#,##0</c:formatCode>
                <c:ptCount val="6"/>
                <c:pt idx="0">
                  <c:v>103363</c:v>
                </c:pt>
                <c:pt idx="1">
                  <c:v>42432</c:v>
                </c:pt>
                <c:pt idx="2">
                  <c:v>39474</c:v>
                </c:pt>
                <c:pt idx="3">
                  <c:v>27745</c:v>
                </c:pt>
                <c:pt idx="4">
                  <c:v>26614</c:v>
                </c:pt>
                <c:pt idx="5">
                  <c:v>27393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6-4C61-8FC9-B65FD9C72C18}"/>
            </c:ext>
          </c:extLst>
        </c:ser>
        <c:ser>
          <c:idx val="1"/>
          <c:order val="1"/>
          <c:tx>
            <c:strRef>
              <c:f>Dashboard!$P$1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007C83"/>
            </a:solidFill>
            <a:ln>
              <a:noFill/>
            </a:ln>
            <a:effectLst/>
          </c:spPr>
          <c:invertIfNegative val="0"/>
          <c:cat>
            <c:strRef>
              <c:f>Dashboard!$N$2:$N$7</c:f>
              <c:strCache>
                <c:ptCount val="6"/>
                <c:pt idx="0">
                  <c:v>BFSI</c:v>
                </c:pt>
                <c:pt idx="1">
                  <c:v>Consumer Business</c:v>
                </c:pt>
                <c:pt idx="2">
                  <c:v>Communication, Media and Technology</c:v>
                </c:pt>
                <c:pt idx="3">
                  <c:v>Life Sciences and Healthcare</c:v>
                </c:pt>
                <c:pt idx="4">
                  <c:v>Manufacturing</c:v>
                </c:pt>
                <c:pt idx="5">
                  <c:v>Others</c:v>
                </c:pt>
              </c:strCache>
            </c:strRef>
          </c:cat>
          <c:val>
            <c:numRef>
              <c:f>Dashboard!$P$2:$P$7</c:f>
              <c:numCache>
                <c:formatCode>#,##0</c:formatCode>
                <c:ptCount val="6"/>
                <c:pt idx="0">
                  <c:v>94597</c:v>
                </c:pt>
                <c:pt idx="1">
                  <c:v>40197</c:v>
                </c:pt>
                <c:pt idx="2">
                  <c:v>45893</c:v>
                </c:pt>
                <c:pt idx="3">
                  <c:v>26456</c:v>
                </c:pt>
                <c:pt idx="4">
                  <c:v>25170</c:v>
                </c:pt>
                <c:pt idx="5">
                  <c:v>23011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6-4C61-8FC9-B65FD9C72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074384"/>
        <c:axId val="859633664"/>
      </c:barChart>
      <c:catAx>
        <c:axId val="83707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633664"/>
        <c:crosses val="autoZero"/>
        <c:auto val="1"/>
        <c:lblAlgn val="ctr"/>
        <c:lblOffset val="100"/>
        <c:noMultiLvlLbl val="0"/>
      </c:catAx>
      <c:valAx>
        <c:axId val="85963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 Revenue Mix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Dashboard!$S$1</c:f>
              <c:strCache>
                <c:ptCount val="1"/>
                <c:pt idx="0">
                  <c:v>Revenue Mix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Dashboard!$R$2:$R$8</c:f>
              <c:strCache>
                <c:ptCount val="7"/>
                <c:pt idx="0">
                  <c:v>North America</c:v>
                </c:pt>
                <c:pt idx="1">
                  <c:v>United Kingdom</c:v>
                </c:pt>
                <c:pt idx="2">
                  <c:v>Continental Europe</c:v>
                </c:pt>
                <c:pt idx="3">
                  <c:v>APAC</c:v>
                </c:pt>
                <c:pt idx="4">
                  <c:v>India</c:v>
                </c:pt>
                <c:pt idx="5">
                  <c:v>Latin America</c:v>
                </c:pt>
                <c:pt idx="6">
                  <c:v>MEA</c:v>
                </c:pt>
              </c:strCache>
            </c:strRef>
          </c:cat>
          <c:val>
            <c:numRef>
              <c:f>Dashboard!$S$2:$S$8</c:f>
              <c:numCache>
                <c:formatCode>0.0"%"</c:formatCode>
                <c:ptCount val="7"/>
                <c:pt idx="0">
                  <c:v>48.6</c:v>
                </c:pt>
                <c:pt idx="1">
                  <c:v>17.399999999999999</c:v>
                </c:pt>
                <c:pt idx="2">
                  <c:v>15.4</c:v>
                </c:pt>
                <c:pt idx="3">
                  <c:v>8.3000000000000007</c:v>
                </c:pt>
                <c:pt idx="4">
                  <c:v>5.9</c:v>
                </c:pt>
                <c:pt idx="5">
                  <c:v>1.9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E-4D3D-9E26-D8762A245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6" name="Industry Revenue Comparison">
          <a:extLst>
            <a:ext uri="{FF2B5EF4-FFF2-40B4-BE49-F238E27FC236}">
              <a16:creationId xmlns:a16="http://schemas.microsoft.com/office/drawing/2014/main" id="{40E758A7-7C97-F57D-0D68-B31BDEC05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7" name="Geographic Revenue Mix">
          <a:extLst>
            <a:ext uri="{FF2B5EF4-FFF2-40B4-BE49-F238E27FC236}">
              <a16:creationId xmlns:a16="http://schemas.microsoft.com/office/drawing/2014/main" id="{30A2FE3F-4D6B-065C-8C03-AA953133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85E43E-2FCB-4850-B19F-DD3FED9E7641}">
  <we:reference id="wa200006009" version="2.1.3.10" store="en-US" storeType="OMEX"/>
  <we:alternateReferences>
    <we:reference id="WA200006009" version="2.1.3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5D55-1A1F-4141-A8A1-5848F9DA50FD}">
  <sheetPr>
    <pageSetUpPr fitToPage="1"/>
  </sheetPr>
  <dimension ref="A1:H17"/>
  <sheetViews>
    <sheetView workbookViewId="0">
      <selection sqref="A1:I1"/>
    </sheetView>
  </sheetViews>
  <sheetFormatPr defaultRowHeight="15" x14ac:dyDescent="0.25"/>
  <cols>
    <col min="1" max="2" width="38.140625" customWidth="1"/>
    <col min="3" max="8" width="4.7109375" customWidth="1"/>
  </cols>
  <sheetData>
    <row r="1" spans="1:8" ht="26.25" x14ac:dyDescent="0.4">
      <c r="A1" s="51" t="s">
        <v>297</v>
      </c>
      <c r="B1" s="51"/>
      <c r="C1" s="51"/>
      <c r="D1" s="51"/>
      <c r="E1" s="51"/>
      <c r="F1" s="51"/>
      <c r="G1" s="51"/>
      <c r="H1" s="51"/>
    </row>
    <row r="2" spans="1:8" x14ac:dyDescent="0.25">
      <c r="A2" s="52" t="s">
        <v>298</v>
      </c>
      <c r="B2" s="52"/>
      <c r="C2" s="52"/>
      <c r="D2" s="52"/>
      <c r="E2" s="52"/>
      <c r="F2" s="52"/>
      <c r="G2" s="52"/>
      <c r="H2" s="52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53" t="s">
        <v>299</v>
      </c>
      <c r="B4" s="53"/>
      <c r="C4" s="53"/>
      <c r="D4" s="53"/>
      <c r="E4" s="53"/>
      <c r="F4" s="53"/>
      <c r="G4" s="53"/>
      <c r="H4" s="53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41" t="s">
        <v>300</v>
      </c>
      <c r="B6" s="50" t="s">
        <v>301</v>
      </c>
      <c r="C6" s="50"/>
      <c r="D6" s="50"/>
      <c r="E6" s="50"/>
      <c r="F6" s="50"/>
      <c r="G6" s="50"/>
      <c r="H6" s="50"/>
    </row>
    <row r="7" spans="1:8" x14ac:dyDescent="0.25">
      <c r="A7" s="40" t="s">
        <v>302</v>
      </c>
      <c r="B7" s="49" t="s">
        <v>303</v>
      </c>
      <c r="C7" s="49"/>
      <c r="D7" s="49"/>
      <c r="E7" s="49"/>
      <c r="F7" s="49"/>
      <c r="G7" s="49"/>
      <c r="H7" s="49"/>
    </row>
    <row r="8" spans="1:8" x14ac:dyDescent="0.25">
      <c r="A8" s="41" t="s">
        <v>304</v>
      </c>
      <c r="B8" s="50" t="s">
        <v>305</v>
      </c>
      <c r="C8" s="50"/>
      <c r="D8" s="50"/>
      <c r="E8" s="50"/>
      <c r="F8" s="50"/>
      <c r="G8" s="50"/>
      <c r="H8" s="50"/>
    </row>
    <row r="9" spans="1:8" x14ac:dyDescent="0.25">
      <c r="A9" s="40" t="s">
        <v>306</v>
      </c>
      <c r="B9" s="49" t="s">
        <v>307</v>
      </c>
      <c r="C9" s="49"/>
      <c r="D9" s="49"/>
      <c r="E9" s="49"/>
      <c r="F9" s="49"/>
      <c r="G9" s="49"/>
      <c r="H9" s="49"/>
    </row>
    <row r="10" spans="1:8" x14ac:dyDescent="0.25">
      <c r="A10" s="41" t="s">
        <v>308</v>
      </c>
      <c r="B10" s="50" t="s">
        <v>309</v>
      </c>
      <c r="C10" s="50"/>
      <c r="D10" s="50"/>
      <c r="E10" s="50"/>
      <c r="F10" s="50"/>
      <c r="G10" s="50"/>
      <c r="H10" s="50"/>
    </row>
    <row r="11" spans="1:8" x14ac:dyDescent="0.25">
      <c r="A11" s="40" t="s">
        <v>310</v>
      </c>
      <c r="B11" s="49" t="s">
        <v>311</v>
      </c>
      <c r="C11" s="49"/>
      <c r="D11" s="49"/>
      <c r="E11" s="49"/>
      <c r="F11" s="49"/>
      <c r="G11" s="49"/>
      <c r="H11" s="49"/>
    </row>
    <row r="12" spans="1:8" x14ac:dyDescent="0.25">
      <c r="A12" s="41" t="s">
        <v>312</v>
      </c>
      <c r="B12" s="50" t="s">
        <v>313</v>
      </c>
      <c r="C12" s="50"/>
      <c r="D12" s="50"/>
      <c r="E12" s="50"/>
      <c r="F12" s="50"/>
      <c r="G12" s="50"/>
      <c r="H12" s="50"/>
    </row>
    <row r="13" spans="1:8" x14ac:dyDescent="0.25">
      <c r="A13" s="40" t="s">
        <v>314</v>
      </c>
      <c r="B13" s="49" t="s">
        <v>315</v>
      </c>
      <c r="C13" s="49"/>
      <c r="D13" s="49"/>
      <c r="E13" s="49"/>
      <c r="F13" s="49"/>
      <c r="G13" s="49"/>
      <c r="H13" s="49"/>
    </row>
    <row r="14" spans="1:8" x14ac:dyDescent="0.25">
      <c r="A14" s="41" t="s">
        <v>316</v>
      </c>
      <c r="B14" s="50" t="s">
        <v>317</v>
      </c>
      <c r="C14" s="50"/>
      <c r="D14" s="50"/>
      <c r="E14" s="50"/>
      <c r="F14" s="50"/>
      <c r="G14" s="50"/>
      <c r="H14" s="50"/>
    </row>
    <row r="15" spans="1:8" x14ac:dyDescent="0.25">
      <c r="A15" s="40" t="s">
        <v>318</v>
      </c>
      <c r="B15" s="49" t="s">
        <v>319</v>
      </c>
      <c r="C15" s="49"/>
      <c r="D15" s="49"/>
      <c r="E15" s="49"/>
      <c r="F15" s="49"/>
      <c r="G15" s="49"/>
      <c r="H15" s="49"/>
    </row>
    <row r="16" spans="1:8" x14ac:dyDescent="0.25">
      <c r="A16" s="41" t="s">
        <v>320</v>
      </c>
      <c r="B16" s="50" t="s">
        <v>321</v>
      </c>
      <c r="C16" s="50"/>
      <c r="D16" s="50"/>
      <c r="E16" s="50"/>
      <c r="F16" s="50"/>
      <c r="G16" s="50"/>
      <c r="H16" s="50"/>
    </row>
    <row r="17" spans="1:8" x14ac:dyDescent="0.25">
      <c r="A17" s="40" t="s">
        <v>322</v>
      </c>
      <c r="B17" s="49" t="s">
        <v>323</v>
      </c>
      <c r="C17" s="49"/>
      <c r="D17" s="49"/>
      <c r="E17" s="49"/>
      <c r="F17" s="49"/>
      <c r="G17" s="49"/>
      <c r="H17" s="49"/>
    </row>
  </sheetData>
  <mergeCells count="15">
    <mergeCell ref="B8:H8"/>
    <mergeCell ref="A1:H1"/>
    <mergeCell ref="A2:H2"/>
    <mergeCell ref="A4:H4"/>
    <mergeCell ref="B6:H6"/>
    <mergeCell ref="B7:H7"/>
    <mergeCell ref="B15:H15"/>
    <mergeCell ref="B16:H16"/>
    <mergeCell ref="B17:H17"/>
    <mergeCell ref="B9:H9"/>
    <mergeCell ref="B10:H10"/>
    <mergeCell ref="B11:H11"/>
    <mergeCell ref="B12:H12"/>
    <mergeCell ref="B13:H13"/>
    <mergeCell ref="B14:H14"/>
  </mergeCells>
  <printOptions horizontalCentered="1"/>
  <pageMargins left="4.8611111111111112E-3" right="4.8611111111111112E-3" top="5.5555555555555558E-3" bottom="5.5555555555555558E-3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88D6-13AD-4051-A3A4-1756CBC00340}">
  <sheetPr>
    <pageSetUpPr fitToPage="1"/>
  </sheetPr>
  <dimension ref="A1:S37"/>
  <sheetViews>
    <sheetView tabSelected="1" workbookViewId="0">
      <selection sqref="A1:L1"/>
    </sheetView>
  </sheetViews>
  <sheetFormatPr defaultRowHeight="15" x14ac:dyDescent="0.25"/>
  <cols>
    <col min="1" max="1" width="6.7109375" style="1" customWidth="1"/>
    <col min="2" max="2" width="24.7109375" style="1" customWidth="1"/>
    <col min="3" max="4" width="6.7109375" style="1" customWidth="1"/>
    <col min="5" max="5" width="24.7109375" style="1" customWidth="1"/>
    <col min="6" max="7" width="6.7109375" style="1" customWidth="1"/>
    <col min="8" max="8" width="24.7109375" style="1" customWidth="1"/>
    <col min="9" max="10" width="6.7109375" style="1" customWidth="1"/>
    <col min="11" max="11" width="24.7109375" style="1" customWidth="1"/>
    <col min="12" max="12" width="6.7109375" style="1" customWidth="1"/>
    <col min="14" max="14" width="19.85546875" customWidth="1"/>
  </cols>
  <sheetData>
    <row r="1" spans="1:19" ht="48" customHeight="1" x14ac:dyDescent="0.4">
      <c r="A1" s="45" t="s">
        <v>288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N1" t="s">
        <v>0</v>
      </c>
      <c r="O1" t="s">
        <v>28</v>
      </c>
      <c r="P1" t="s">
        <v>324</v>
      </c>
      <c r="R1" t="s">
        <v>2</v>
      </c>
      <c r="S1" t="s">
        <v>41</v>
      </c>
    </row>
    <row r="2" spans="1:19" ht="20.100000000000001" customHeight="1" x14ac:dyDescent="0.25">
      <c r="A2" s="46" t="s">
        <v>289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N2" t="str">
        <f>'03_INDUSTRY_ANALYSIS'!A5</f>
        <v>BFSI</v>
      </c>
      <c r="O2" s="57">
        <f>'03_INDUSTRY_ANALYSIS'!B5</f>
        <v>103363</v>
      </c>
      <c r="P2" s="57">
        <f>'03_INDUSTRY_ANALYSIS'!C5</f>
        <v>94597</v>
      </c>
      <c r="R2" t="str">
        <f>'04_GEOGRAPHY_ANALYSIS'!A5</f>
        <v>North America</v>
      </c>
      <c r="S2" s="58">
        <f>'04_GEOGRAPHY_ANALYSIS'!B5</f>
        <v>48.6</v>
      </c>
    </row>
    <row r="3" spans="1:19" x14ac:dyDescent="0.25">
      <c r="N3" t="str">
        <f>'03_INDUSTRY_ANALYSIS'!A6</f>
        <v>Consumer Business</v>
      </c>
      <c r="O3" s="57">
        <f>'03_INDUSTRY_ANALYSIS'!B6</f>
        <v>42432</v>
      </c>
      <c r="P3" s="57">
        <f>'03_INDUSTRY_ANALYSIS'!C6</f>
        <v>40197</v>
      </c>
      <c r="R3" t="str">
        <f>'04_GEOGRAPHY_ANALYSIS'!A6</f>
        <v>United Kingdom</v>
      </c>
      <c r="S3" s="58">
        <f>'04_GEOGRAPHY_ANALYSIS'!B6</f>
        <v>17.399999999999999</v>
      </c>
    </row>
    <row r="4" spans="1:19" x14ac:dyDescent="0.25">
      <c r="A4" s="47" t="s">
        <v>290</v>
      </c>
      <c r="B4" s="47"/>
      <c r="C4" s="47"/>
      <c r="D4" s="47" t="s">
        <v>65</v>
      </c>
      <c r="E4" s="47"/>
      <c r="F4" s="47"/>
      <c r="G4" s="47" t="s">
        <v>70</v>
      </c>
      <c r="H4" s="47"/>
      <c r="I4" s="47"/>
      <c r="J4" s="47" t="s">
        <v>33</v>
      </c>
      <c r="K4" s="47"/>
      <c r="L4" s="47"/>
      <c r="N4" t="str">
        <f>'03_INDUSTRY_ANALYSIS'!A7</f>
        <v>Communication, Media and Technology</v>
      </c>
      <c r="O4" s="57">
        <f>'03_INDUSTRY_ANALYSIS'!B7</f>
        <v>39474</v>
      </c>
      <c r="P4" s="57">
        <f>'03_INDUSTRY_ANALYSIS'!C7</f>
        <v>45893</v>
      </c>
      <c r="R4" t="str">
        <f>'04_GEOGRAPHY_ANALYSIS'!A7</f>
        <v>Continental Europe</v>
      </c>
      <c r="S4" s="58">
        <f>'04_GEOGRAPHY_ANALYSIS'!B7</f>
        <v>15.4</v>
      </c>
    </row>
    <row r="5" spans="1:19" ht="48" customHeight="1" x14ac:dyDescent="0.45">
      <c r="A5" s="35"/>
      <c r="B5" s="37">
        <f>'01_MASTER_ALL_DATA'!E5</f>
        <v>267021</v>
      </c>
      <c r="C5" s="35"/>
      <c r="D5" s="36"/>
      <c r="E5" s="38">
        <f>'01_MASTER_ALL_DATA'!E6</f>
        <v>66838</v>
      </c>
      <c r="F5" s="36"/>
      <c r="G5" s="36"/>
      <c r="H5" s="38">
        <f>'01_MASTER_ALL_DATA'!E7</f>
        <v>52820</v>
      </c>
      <c r="I5" s="36"/>
      <c r="J5" s="36"/>
      <c r="K5" s="39">
        <f>'01_MASTER_ALL_DATA'!E8</f>
        <v>145.99</v>
      </c>
      <c r="L5" s="36"/>
      <c r="N5" t="str">
        <f>'03_INDUSTRY_ANALYSIS'!A8</f>
        <v>Life Sciences and Healthcare</v>
      </c>
      <c r="O5" s="57">
        <f>'03_INDUSTRY_ANALYSIS'!B8</f>
        <v>27745</v>
      </c>
      <c r="P5" s="57">
        <f>'03_INDUSTRY_ANALYSIS'!C8</f>
        <v>26456</v>
      </c>
      <c r="R5" t="str">
        <f>'04_GEOGRAPHY_ANALYSIS'!A8</f>
        <v>APAC</v>
      </c>
      <c r="S5" s="58">
        <f>'04_GEOGRAPHY_ANALYSIS'!B8</f>
        <v>8.3000000000000007</v>
      </c>
    </row>
    <row r="6" spans="1:19" x14ac:dyDescent="0.25">
      <c r="A6" s="35"/>
      <c r="B6" s="35"/>
      <c r="C6" s="35"/>
      <c r="D6" s="36"/>
      <c r="E6" s="36"/>
      <c r="F6" s="36"/>
      <c r="G6" s="36"/>
      <c r="H6" s="36"/>
      <c r="I6" s="36"/>
      <c r="J6" s="36"/>
      <c r="K6" s="36"/>
      <c r="L6" s="36"/>
      <c r="N6" t="str">
        <f>'03_INDUSTRY_ANALYSIS'!A9</f>
        <v>Manufacturing</v>
      </c>
      <c r="O6" s="57">
        <f>'03_INDUSTRY_ANALYSIS'!B9</f>
        <v>26614</v>
      </c>
      <c r="P6" s="57">
        <f>'03_INDUSTRY_ANALYSIS'!C9</f>
        <v>25170</v>
      </c>
      <c r="R6" t="str">
        <f>'04_GEOGRAPHY_ANALYSIS'!A9</f>
        <v>India</v>
      </c>
      <c r="S6" s="58">
        <f>'04_GEOGRAPHY_ANALYSIS'!B9</f>
        <v>5.9</v>
      </c>
    </row>
    <row r="7" spans="1:19" x14ac:dyDescent="0.25">
      <c r="A7" s="48">
        <f>'01_MASTER_ALL_DATA'!H5/100</f>
        <v>4.5999999999999999E-2</v>
      </c>
      <c r="B7" s="48"/>
      <c r="C7" s="48"/>
      <c r="D7" s="48">
        <f>'01_MASTER_ALL_DATA'!H6/100</f>
        <v>7.4999999999999997E-2</v>
      </c>
      <c r="E7" s="48"/>
      <c r="F7" s="48"/>
      <c r="G7" s="48">
        <f>'01_MASTER_ALL_DATA'!H7/100</f>
        <v>8.8000000000000009E-2</v>
      </c>
      <c r="H7" s="48"/>
      <c r="I7" s="48"/>
      <c r="J7" s="48">
        <f>'01_MASTER_ALL_DATA'!H8/100</f>
        <v>8.8000000000000009E-2</v>
      </c>
      <c r="K7" s="48"/>
      <c r="L7" s="48"/>
      <c r="N7" t="str">
        <f>'03_INDUSTRY_ANALYSIS'!A10</f>
        <v>Others</v>
      </c>
      <c r="O7" s="57">
        <f>'03_INDUSTRY_ANALYSIS'!B10</f>
        <v>27393</v>
      </c>
      <c r="P7" s="57">
        <f>'03_INDUSTRY_ANALYSIS'!C10</f>
        <v>23011</v>
      </c>
      <c r="R7" t="str">
        <f>'04_GEOGRAPHY_ANALYSIS'!A10</f>
        <v>Latin America</v>
      </c>
      <c r="S7" s="58">
        <f>'04_GEOGRAPHY_ANALYSIS'!B10</f>
        <v>1.9</v>
      </c>
    </row>
    <row r="8" spans="1:19" x14ac:dyDescent="0.25">
      <c r="R8" t="str">
        <f>'04_GEOGRAPHY_ANALYSIS'!A11</f>
        <v>MEA</v>
      </c>
      <c r="S8" s="58">
        <f>'04_GEOGRAPHY_ANALYSIS'!B11</f>
        <v>2.5</v>
      </c>
    </row>
    <row r="9" spans="1:19" ht="15.75" x14ac:dyDescent="0.25">
      <c r="A9" s="42" t="s">
        <v>291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9" ht="21.95" customHeight="1" x14ac:dyDescent="0.25">
      <c r="A10" s="43" t="s">
        <v>292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9" ht="21.95" customHeight="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9" ht="21.95" customHeigh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9" x14ac:dyDescent="0.25">
      <c r="A13" s="44" t="s">
        <v>293</v>
      </c>
      <c r="B13" s="44"/>
      <c r="C13" s="44"/>
      <c r="D13" s="44"/>
      <c r="E13" s="44"/>
      <c r="F13" s="44"/>
      <c r="H13" s="44" t="s">
        <v>294</v>
      </c>
      <c r="I13" s="44"/>
      <c r="J13" s="44"/>
      <c r="K13" s="44"/>
      <c r="L13" s="44"/>
    </row>
    <row r="31" spans="1:12" ht="27.95" customHeight="1" x14ac:dyDescent="0.25">
      <c r="A31" s="59" t="s">
        <v>325</v>
      </c>
      <c r="B31" s="60"/>
      <c r="C31" s="60"/>
      <c r="D31" s="60"/>
      <c r="E31" s="60"/>
      <c r="F31" s="61"/>
      <c r="G31" s="62"/>
      <c r="H31" s="59" t="s">
        <v>326</v>
      </c>
      <c r="I31" s="60"/>
      <c r="J31" s="60"/>
      <c r="K31" s="60"/>
      <c r="L31" s="61"/>
    </row>
    <row r="32" spans="1:12" ht="21.95" customHeight="1" x14ac:dyDescent="0.25">
      <c r="A32" s="63" t="s">
        <v>327</v>
      </c>
      <c r="B32" s="64" t="s">
        <v>328</v>
      </c>
      <c r="C32" s="64"/>
      <c r="D32" s="64" t="s">
        <v>329</v>
      </c>
      <c r="E32" s="64"/>
      <c r="F32" s="65" t="s">
        <v>330</v>
      </c>
      <c r="G32" s="62"/>
      <c r="H32" s="66" t="s">
        <v>331</v>
      </c>
      <c r="I32" s="67"/>
      <c r="J32" s="67"/>
      <c r="K32" s="67" t="s">
        <v>332</v>
      </c>
      <c r="L32" s="68"/>
    </row>
    <row r="33" spans="1:12" ht="32.1" customHeight="1" x14ac:dyDescent="0.25">
      <c r="A33" s="69" t="str">
        <f>'06_MANAGEMENT_PRIORITIES'!A5</f>
        <v>1</v>
      </c>
      <c r="B33" s="70" t="str">
        <f>'06_MANAGEMENT_PRIORITIES'!B5</f>
        <v>CMT</v>
      </c>
      <c r="C33" s="70"/>
      <c r="D33" s="71" t="str">
        <f>'06_MANAGEMENT_PRIORITIES'!C5</f>
        <v>Revenue declined 14.0%</v>
      </c>
      <c r="E33" s="71"/>
      <c r="F33" s="72" t="str">
        <f>'06_MANAGEMENT_PRIORITIES'!D5</f>
        <v>High</v>
      </c>
      <c r="G33" s="62"/>
      <c r="H33" s="73" t="s">
        <v>295</v>
      </c>
      <c r="I33" s="74"/>
      <c r="J33" s="74"/>
      <c r="K33" s="75" t="str">
        <f>'05_AI_ANALYSIS'!B5</f>
        <v>US$2.3B</v>
      </c>
      <c r="L33" s="76"/>
    </row>
    <row r="34" spans="1:12" ht="32.1" customHeight="1" x14ac:dyDescent="0.25">
      <c r="A34" s="77" t="str">
        <f>'06_MANAGEMENT_PRIORITIES'!A6</f>
        <v>2</v>
      </c>
      <c r="B34" s="78" t="str">
        <f>'06_MANAGEMENT_PRIORITIES'!B6</f>
        <v>BFSI</v>
      </c>
      <c r="C34" s="78"/>
      <c r="D34" s="79" t="str">
        <f>'06_MANAGEMENT_PRIORITIES'!C6</f>
        <v>Largest revenue pool: ₹103,363 Cr</v>
      </c>
      <c r="E34" s="79"/>
      <c r="F34" s="80" t="str">
        <f>'06_MANAGEMENT_PRIORITIES'!D6</f>
        <v>High</v>
      </c>
      <c r="G34" s="62"/>
      <c r="H34" s="81" t="s">
        <v>47</v>
      </c>
      <c r="I34" s="82"/>
      <c r="J34" s="82"/>
      <c r="K34" s="83" t="str">
        <f>'05_AI_ANALYSIS'!B6</f>
        <v>US$11.5B</v>
      </c>
      <c r="L34" s="84"/>
    </row>
    <row r="35" spans="1:12" ht="32.1" customHeight="1" x14ac:dyDescent="0.25">
      <c r="A35" s="85" t="str">
        <f>'06_MANAGEMENT_PRIORITIES'!A7</f>
        <v>3</v>
      </c>
      <c r="B35" s="86" t="str">
        <f>'06_MANAGEMENT_PRIORITIES'!B7</f>
        <v>North America</v>
      </c>
      <c r="C35" s="86"/>
      <c r="D35" s="87" t="str">
        <f>'06_MANAGEMENT_PRIORITIES'!C7</f>
        <v>48.6% revenue mix</v>
      </c>
      <c r="E35" s="87"/>
      <c r="F35" s="80" t="str">
        <f>'06_MANAGEMENT_PRIORITIES'!D7</f>
        <v>High</v>
      </c>
      <c r="G35" s="62"/>
      <c r="H35" s="88" t="s">
        <v>296</v>
      </c>
      <c r="I35" s="89"/>
      <c r="J35" s="89"/>
      <c r="K35" s="90">
        <f>'05_AI_ANALYSIS'!B7</f>
        <v>270000</v>
      </c>
      <c r="L35" s="91"/>
    </row>
    <row r="36" spans="1:12" ht="32.1" customHeight="1" x14ac:dyDescent="0.25">
      <c r="A36" s="77" t="str">
        <f>'06_MANAGEMENT_PRIORITIES'!A8</f>
        <v>4</v>
      </c>
      <c r="B36" s="78" t="str">
        <f>'06_MANAGEMENT_PRIORITIES'!B8</f>
        <v>AI Services</v>
      </c>
      <c r="C36" s="78"/>
      <c r="D36" s="79" t="str">
        <f>'06_MANAGEMENT_PRIORITIES'!C8</f>
        <v>US$2.3B annualised revenue</v>
      </c>
      <c r="E36" s="79"/>
      <c r="F36" s="80" t="str">
        <f>'06_MANAGEMENT_PRIORITIES'!D8</f>
        <v>High</v>
      </c>
      <c r="G36" s="62"/>
      <c r="H36" s="81" t="s">
        <v>51</v>
      </c>
      <c r="I36" s="82"/>
      <c r="J36" s="82"/>
      <c r="K36" s="92">
        <f>'05_AI_ANALYSIS'!B8</f>
        <v>69</v>
      </c>
      <c r="L36" s="93"/>
    </row>
    <row r="37" spans="1:12" ht="32.1" customHeight="1" x14ac:dyDescent="0.25">
      <c r="A37" s="94" t="str">
        <f>'06_MANAGEMENT_PRIORITIES'!A9</f>
        <v>5</v>
      </c>
      <c r="B37" s="95" t="str">
        <f>'06_MANAGEMENT_PRIORITIES'!B9</f>
        <v>Manufacturing</v>
      </c>
      <c r="C37" s="95"/>
      <c r="D37" s="96" t="str">
        <f>'06_MANAGEMENT_PRIORITIES'!C9</f>
        <v>30.3% segment margin</v>
      </c>
      <c r="E37" s="96"/>
      <c r="F37" s="97" t="str">
        <f>'06_MANAGEMENT_PRIORITIES'!D9</f>
        <v>Medium</v>
      </c>
      <c r="G37" s="62"/>
      <c r="H37" s="98" t="s">
        <v>53</v>
      </c>
      <c r="I37" s="99"/>
      <c r="J37" s="99"/>
      <c r="K37" s="100">
        <f>'05_AI_ANALYSIS'!B9</f>
        <v>5.2</v>
      </c>
      <c r="L37" s="101"/>
    </row>
  </sheetData>
  <mergeCells count="40">
    <mergeCell ref="H32:J32"/>
    <mergeCell ref="K32:L32"/>
    <mergeCell ref="H33:J33"/>
    <mergeCell ref="H34:J34"/>
    <mergeCell ref="H35:J35"/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A1:L1"/>
    <mergeCell ref="A2:L2"/>
    <mergeCell ref="A4:C4"/>
    <mergeCell ref="A7:C7"/>
    <mergeCell ref="D4:F4"/>
    <mergeCell ref="D7:F7"/>
    <mergeCell ref="G4:I4"/>
    <mergeCell ref="G7:I7"/>
    <mergeCell ref="J4:L4"/>
    <mergeCell ref="J7:L7"/>
    <mergeCell ref="A9:L9"/>
    <mergeCell ref="A10:L12"/>
    <mergeCell ref="A13:F13"/>
    <mergeCell ref="H13:L13"/>
    <mergeCell ref="A31:F31"/>
    <mergeCell ref="H31:L31"/>
    <mergeCell ref="K36:L36"/>
    <mergeCell ref="K37:L37"/>
    <mergeCell ref="K33:L33"/>
    <mergeCell ref="K34:L34"/>
    <mergeCell ref="K35:L35"/>
    <mergeCell ref="H36:J36"/>
    <mergeCell ref="H37:J37"/>
  </mergeCells>
  <printOptions horizontalCentered="1"/>
  <pageMargins left="3.472222222222222E-3" right="3.472222222222222E-3" top="3.472222222222222E-3" bottom="3.472222222222222E-3" header="1.3888888888888889E-3" footer="1.3888888888888889E-3"/>
  <pageSetup paperSize="9" scale="8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4" topLeftCell="A14" activePane="bottomLeft" state="frozen"/>
      <selection pane="bottomLeft" activeCell="A2" sqref="A2:I2"/>
    </sheetView>
  </sheetViews>
  <sheetFormatPr defaultRowHeight="15" x14ac:dyDescent="0.25"/>
  <cols>
    <col min="1" max="1" width="23.85546875" customWidth="1"/>
    <col min="2" max="2" width="17.140625" customWidth="1"/>
    <col min="3" max="3" width="36.140625" customWidth="1"/>
    <col min="4" max="5" width="20" customWidth="1"/>
    <col min="6" max="6" width="17.140625" customWidth="1"/>
    <col min="7" max="7" width="20" customWidth="1"/>
    <col min="8" max="8" width="18.140625" customWidth="1"/>
    <col min="9" max="9" width="34.28515625" customWidth="1"/>
  </cols>
  <sheetData>
    <row r="1" spans="1:9" ht="24" x14ac:dyDescent="0.4">
      <c r="A1" s="54" t="s">
        <v>269</v>
      </c>
      <c r="B1" s="54"/>
      <c r="C1" s="54"/>
      <c r="D1" s="54"/>
      <c r="E1" s="54"/>
      <c r="F1" s="54"/>
      <c r="G1" s="54"/>
      <c r="H1" s="54"/>
      <c r="I1" s="54"/>
    </row>
    <row r="2" spans="1:9" x14ac:dyDescent="0.25">
      <c r="A2" s="102" t="s">
        <v>270</v>
      </c>
      <c r="B2" s="102"/>
      <c r="C2" s="102"/>
      <c r="D2" s="102"/>
      <c r="E2" s="102"/>
      <c r="F2" s="102"/>
      <c r="G2" s="102"/>
      <c r="H2" s="102"/>
      <c r="I2" s="102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spans="1:9" x14ac:dyDescent="0.25">
      <c r="A5" s="4" t="s">
        <v>25</v>
      </c>
      <c r="B5" s="4" t="s">
        <v>26</v>
      </c>
      <c r="C5" s="9" t="s">
        <v>27</v>
      </c>
      <c r="D5" s="4" t="s">
        <v>28</v>
      </c>
      <c r="E5" s="15">
        <v>267021</v>
      </c>
      <c r="F5" s="4" t="s">
        <v>29</v>
      </c>
      <c r="G5" s="15">
        <v>255324</v>
      </c>
      <c r="H5" s="18">
        <v>4.5999999999999996</v>
      </c>
      <c r="I5" s="9" t="s">
        <v>30</v>
      </c>
    </row>
    <row r="6" spans="1:9" x14ac:dyDescent="0.25">
      <c r="A6" s="5" t="s">
        <v>25</v>
      </c>
      <c r="B6" s="5" t="s">
        <v>26</v>
      </c>
      <c r="C6" s="10" t="s">
        <v>31</v>
      </c>
      <c r="D6" s="5" t="s">
        <v>28</v>
      </c>
      <c r="E6" s="16">
        <v>66838</v>
      </c>
      <c r="F6" s="5" t="s">
        <v>29</v>
      </c>
      <c r="G6" s="16">
        <v>62165</v>
      </c>
      <c r="H6" s="19">
        <v>7.5</v>
      </c>
      <c r="I6" s="10" t="s">
        <v>30</v>
      </c>
    </row>
    <row r="7" spans="1:9" x14ac:dyDescent="0.25">
      <c r="A7" s="6" t="s">
        <v>25</v>
      </c>
      <c r="B7" s="6" t="s">
        <v>26</v>
      </c>
      <c r="C7" s="11" t="s">
        <v>32</v>
      </c>
      <c r="D7" s="6" t="s">
        <v>28</v>
      </c>
      <c r="E7" s="17">
        <v>52820</v>
      </c>
      <c r="F7" s="6" t="s">
        <v>29</v>
      </c>
      <c r="G7" s="17">
        <v>48553</v>
      </c>
      <c r="H7" s="20">
        <v>8.8000000000000007</v>
      </c>
      <c r="I7" s="11" t="s">
        <v>30</v>
      </c>
    </row>
    <row r="8" spans="1:9" x14ac:dyDescent="0.25">
      <c r="A8" s="5" t="s">
        <v>25</v>
      </c>
      <c r="B8" s="5" t="s">
        <v>26</v>
      </c>
      <c r="C8" s="10" t="s">
        <v>33</v>
      </c>
      <c r="D8" s="5" t="s">
        <v>28</v>
      </c>
      <c r="E8" s="16">
        <v>145.99</v>
      </c>
      <c r="F8" s="5" t="s">
        <v>34</v>
      </c>
      <c r="G8" s="16">
        <v>134.19</v>
      </c>
      <c r="H8" s="19">
        <v>8.8000000000000007</v>
      </c>
      <c r="I8" s="10" t="s">
        <v>30</v>
      </c>
    </row>
    <row r="9" spans="1:9" x14ac:dyDescent="0.25">
      <c r="A9" s="6" t="s">
        <v>25</v>
      </c>
      <c r="B9" s="6" t="s">
        <v>26</v>
      </c>
      <c r="C9" s="11" t="s">
        <v>35</v>
      </c>
      <c r="D9" s="6" t="s">
        <v>28</v>
      </c>
      <c r="E9" s="17">
        <v>25</v>
      </c>
      <c r="F9" s="6" t="s">
        <v>36</v>
      </c>
      <c r="G9" s="17">
        <v>24.3</v>
      </c>
      <c r="H9" s="20">
        <v>0.7</v>
      </c>
      <c r="I9" s="11" t="s">
        <v>30</v>
      </c>
    </row>
    <row r="10" spans="1:9" x14ac:dyDescent="0.25">
      <c r="A10" s="5" t="s">
        <v>25</v>
      </c>
      <c r="B10" s="5" t="s">
        <v>26</v>
      </c>
      <c r="C10" s="10" t="s">
        <v>37</v>
      </c>
      <c r="D10" s="5" t="s">
        <v>28</v>
      </c>
      <c r="E10" s="16">
        <v>19.8</v>
      </c>
      <c r="F10" s="5" t="s">
        <v>36</v>
      </c>
      <c r="G10" s="16">
        <v>19</v>
      </c>
      <c r="H10" s="19">
        <v>0.8</v>
      </c>
      <c r="I10" s="10" t="s">
        <v>30</v>
      </c>
    </row>
    <row r="11" spans="1:9" x14ac:dyDescent="0.25">
      <c r="A11" s="6" t="s">
        <v>38</v>
      </c>
      <c r="B11" s="6" t="s">
        <v>0</v>
      </c>
      <c r="C11" s="11" t="s">
        <v>3</v>
      </c>
      <c r="D11" s="6" t="s">
        <v>39</v>
      </c>
      <c r="E11" s="6">
        <v>103363</v>
      </c>
      <c r="F11" s="6" t="s">
        <v>29</v>
      </c>
      <c r="G11" s="6">
        <v>94597</v>
      </c>
      <c r="H11" s="20">
        <v>9.3000000000000007</v>
      </c>
      <c r="I11" s="11" t="s">
        <v>30</v>
      </c>
    </row>
    <row r="12" spans="1:9" x14ac:dyDescent="0.25">
      <c r="A12" s="5" t="s">
        <v>38</v>
      </c>
      <c r="B12" s="5" t="s">
        <v>0</v>
      </c>
      <c r="C12" s="10" t="s">
        <v>3</v>
      </c>
      <c r="D12" s="5" t="s">
        <v>40</v>
      </c>
      <c r="E12" s="5">
        <v>26.1</v>
      </c>
      <c r="F12" s="5" t="s">
        <v>36</v>
      </c>
      <c r="G12" s="5">
        <v>26.6</v>
      </c>
      <c r="H12" s="19">
        <v>-0.5</v>
      </c>
      <c r="I12" s="10" t="s">
        <v>30</v>
      </c>
    </row>
    <row r="13" spans="1:9" x14ac:dyDescent="0.25">
      <c r="A13" s="6" t="s">
        <v>38</v>
      </c>
      <c r="B13" s="6" t="s">
        <v>0</v>
      </c>
      <c r="C13" s="11" t="s">
        <v>5</v>
      </c>
      <c r="D13" s="6" t="s">
        <v>39</v>
      </c>
      <c r="E13" s="6">
        <v>42432</v>
      </c>
      <c r="F13" s="6" t="s">
        <v>29</v>
      </c>
      <c r="G13" s="6">
        <v>40197</v>
      </c>
      <c r="H13" s="20">
        <v>5.6</v>
      </c>
      <c r="I13" s="11" t="s">
        <v>30</v>
      </c>
    </row>
    <row r="14" spans="1:9" x14ac:dyDescent="0.25">
      <c r="A14" s="5" t="s">
        <v>38</v>
      </c>
      <c r="B14" s="5" t="s">
        <v>0</v>
      </c>
      <c r="C14" s="10" t="s">
        <v>5</v>
      </c>
      <c r="D14" s="5" t="s">
        <v>40</v>
      </c>
      <c r="E14" s="5">
        <v>28.5</v>
      </c>
      <c r="F14" s="5" t="s">
        <v>36</v>
      </c>
      <c r="G14" s="5">
        <v>27.9</v>
      </c>
      <c r="H14" s="19">
        <v>0.6</v>
      </c>
      <c r="I14" s="10" t="s">
        <v>30</v>
      </c>
    </row>
    <row r="15" spans="1:9" ht="30" x14ac:dyDescent="0.25">
      <c r="A15" s="6" t="s">
        <v>38</v>
      </c>
      <c r="B15" s="6" t="s">
        <v>0</v>
      </c>
      <c r="C15" s="11" t="s">
        <v>7</v>
      </c>
      <c r="D15" s="6" t="s">
        <v>39</v>
      </c>
      <c r="E15" s="6">
        <v>39474</v>
      </c>
      <c r="F15" s="6" t="s">
        <v>29</v>
      </c>
      <c r="G15" s="6">
        <v>45893</v>
      </c>
      <c r="H15" s="20">
        <v>-14</v>
      </c>
      <c r="I15" s="11" t="s">
        <v>30</v>
      </c>
    </row>
    <row r="16" spans="1:9" ht="30" x14ac:dyDescent="0.25">
      <c r="A16" s="5" t="s">
        <v>38</v>
      </c>
      <c r="B16" s="5" t="s">
        <v>0</v>
      </c>
      <c r="C16" s="10" t="s">
        <v>7</v>
      </c>
      <c r="D16" s="5" t="s">
        <v>40</v>
      </c>
      <c r="E16" s="5">
        <v>29.1</v>
      </c>
      <c r="F16" s="5" t="s">
        <v>36</v>
      </c>
      <c r="G16" s="5">
        <v>20.9</v>
      </c>
      <c r="H16" s="19">
        <v>8.1999999999999993</v>
      </c>
      <c r="I16" s="10" t="s">
        <v>30</v>
      </c>
    </row>
    <row r="17" spans="1:9" x14ac:dyDescent="0.25">
      <c r="A17" s="6" t="s">
        <v>38</v>
      </c>
      <c r="B17" s="6" t="s">
        <v>0</v>
      </c>
      <c r="C17" s="11" t="s">
        <v>9</v>
      </c>
      <c r="D17" s="6" t="s">
        <v>39</v>
      </c>
      <c r="E17" s="6">
        <v>27745</v>
      </c>
      <c r="F17" s="6" t="s">
        <v>29</v>
      </c>
      <c r="G17" s="6">
        <v>26456</v>
      </c>
      <c r="H17" s="20">
        <v>4.9000000000000004</v>
      </c>
      <c r="I17" s="11" t="s">
        <v>30</v>
      </c>
    </row>
    <row r="18" spans="1:9" x14ac:dyDescent="0.25">
      <c r="A18" s="5" t="s">
        <v>38</v>
      </c>
      <c r="B18" s="5" t="s">
        <v>0</v>
      </c>
      <c r="C18" s="10" t="s">
        <v>9</v>
      </c>
      <c r="D18" s="5" t="s">
        <v>40</v>
      </c>
      <c r="E18" s="5">
        <v>27</v>
      </c>
      <c r="F18" s="5" t="s">
        <v>36</v>
      </c>
      <c r="G18" s="5">
        <v>28.2</v>
      </c>
      <c r="H18" s="19">
        <v>-1.2</v>
      </c>
      <c r="I18" s="10" t="s">
        <v>30</v>
      </c>
    </row>
    <row r="19" spans="1:9" x14ac:dyDescent="0.25">
      <c r="A19" s="6" t="s">
        <v>38</v>
      </c>
      <c r="B19" s="6" t="s">
        <v>0</v>
      </c>
      <c r="C19" s="11" t="s">
        <v>11</v>
      </c>
      <c r="D19" s="6" t="s">
        <v>39</v>
      </c>
      <c r="E19" s="6">
        <v>26614</v>
      </c>
      <c r="F19" s="6" t="s">
        <v>29</v>
      </c>
      <c r="G19" s="6">
        <v>25170</v>
      </c>
      <c r="H19" s="20">
        <v>5.7</v>
      </c>
      <c r="I19" s="11" t="s">
        <v>30</v>
      </c>
    </row>
    <row r="20" spans="1:9" x14ac:dyDescent="0.25">
      <c r="A20" s="5" t="s">
        <v>38</v>
      </c>
      <c r="B20" s="5" t="s">
        <v>0</v>
      </c>
      <c r="C20" s="10" t="s">
        <v>11</v>
      </c>
      <c r="D20" s="5" t="s">
        <v>40</v>
      </c>
      <c r="E20" s="5">
        <v>30.3</v>
      </c>
      <c r="F20" s="5" t="s">
        <v>36</v>
      </c>
      <c r="G20" s="5">
        <v>32.700000000000003</v>
      </c>
      <c r="H20" s="19">
        <v>-2.4</v>
      </c>
      <c r="I20" s="10" t="s">
        <v>30</v>
      </c>
    </row>
    <row r="21" spans="1:9" x14ac:dyDescent="0.25">
      <c r="A21" s="6" t="s">
        <v>38</v>
      </c>
      <c r="B21" s="6" t="s">
        <v>0</v>
      </c>
      <c r="C21" s="11" t="s">
        <v>13</v>
      </c>
      <c r="D21" s="6" t="s">
        <v>39</v>
      </c>
      <c r="E21" s="6">
        <v>27393</v>
      </c>
      <c r="F21" s="6" t="s">
        <v>29</v>
      </c>
      <c r="G21" s="6">
        <v>23011</v>
      </c>
      <c r="H21" s="20">
        <v>19</v>
      </c>
      <c r="I21" s="11" t="s">
        <v>30</v>
      </c>
    </row>
    <row r="22" spans="1:9" x14ac:dyDescent="0.25">
      <c r="A22" s="5" t="s">
        <v>38</v>
      </c>
      <c r="B22" s="5" t="s">
        <v>0</v>
      </c>
      <c r="C22" s="10" t="s">
        <v>13</v>
      </c>
      <c r="D22" s="5" t="s">
        <v>40</v>
      </c>
      <c r="E22" s="5">
        <v>22.9</v>
      </c>
      <c r="F22" s="5" t="s">
        <v>36</v>
      </c>
      <c r="G22" s="5">
        <v>25.2</v>
      </c>
      <c r="H22" s="5">
        <v>-2.2999999999999998</v>
      </c>
      <c r="I22" s="10" t="s">
        <v>30</v>
      </c>
    </row>
    <row r="23" spans="1:9" x14ac:dyDescent="0.25">
      <c r="A23" s="6" t="s">
        <v>2</v>
      </c>
      <c r="B23" s="6" t="s">
        <v>2</v>
      </c>
      <c r="C23" s="11" t="s">
        <v>4</v>
      </c>
      <c r="D23" s="6" t="s">
        <v>41</v>
      </c>
      <c r="E23" s="21">
        <v>48.6</v>
      </c>
      <c r="F23" s="6" t="s">
        <v>36</v>
      </c>
      <c r="G23" s="6"/>
      <c r="H23" s="6"/>
      <c r="I23" s="11" t="s">
        <v>30</v>
      </c>
    </row>
    <row r="24" spans="1:9" x14ac:dyDescent="0.25">
      <c r="A24" s="5" t="s">
        <v>2</v>
      </c>
      <c r="B24" s="5" t="s">
        <v>2</v>
      </c>
      <c r="C24" s="10" t="s">
        <v>6</v>
      </c>
      <c r="D24" s="5" t="s">
        <v>41</v>
      </c>
      <c r="E24" s="22">
        <v>17.399999999999999</v>
      </c>
      <c r="F24" s="5" t="s">
        <v>36</v>
      </c>
      <c r="G24" s="5"/>
      <c r="H24" s="5"/>
      <c r="I24" s="10" t="s">
        <v>30</v>
      </c>
    </row>
    <row r="25" spans="1:9" x14ac:dyDescent="0.25">
      <c r="A25" s="6" t="s">
        <v>2</v>
      </c>
      <c r="B25" s="6" t="s">
        <v>2</v>
      </c>
      <c r="C25" s="11" t="s">
        <v>8</v>
      </c>
      <c r="D25" s="6" t="s">
        <v>41</v>
      </c>
      <c r="E25" s="21">
        <v>15.4</v>
      </c>
      <c r="F25" s="6" t="s">
        <v>36</v>
      </c>
      <c r="G25" s="6"/>
      <c r="H25" s="6"/>
      <c r="I25" s="11" t="s">
        <v>30</v>
      </c>
    </row>
    <row r="26" spans="1:9" x14ac:dyDescent="0.25">
      <c r="A26" s="5" t="s">
        <v>2</v>
      </c>
      <c r="B26" s="5" t="s">
        <v>2</v>
      </c>
      <c r="C26" s="10" t="s">
        <v>10</v>
      </c>
      <c r="D26" s="5" t="s">
        <v>41</v>
      </c>
      <c r="E26" s="22">
        <v>8.3000000000000007</v>
      </c>
      <c r="F26" s="5" t="s">
        <v>36</v>
      </c>
      <c r="G26" s="5"/>
      <c r="H26" s="5"/>
      <c r="I26" s="10" t="s">
        <v>30</v>
      </c>
    </row>
    <row r="27" spans="1:9" x14ac:dyDescent="0.25">
      <c r="A27" s="6" t="s">
        <v>2</v>
      </c>
      <c r="B27" s="6" t="s">
        <v>2</v>
      </c>
      <c r="C27" s="11" t="s">
        <v>12</v>
      </c>
      <c r="D27" s="6" t="s">
        <v>41</v>
      </c>
      <c r="E27" s="21">
        <v>5.9</v>
      </c>
      <c r="F27" s="6" t="s">
        <v>36</v>
      </c>
      <c r="G27" s="6"/>
      <c r="H27" s="6"/>
      <c r="I27" s="11" t="s">
        <v>30</v>
      </c>
    </row>
    <row r="28" spans="1:9" x14ac:dyDescent="0.25">
      <c r="A28" s="5" t="s">
        <v>2</v>
      </c>
      <c r="B28" s="5" t="s">
        <v>2</v>
      </c>
      <c r="C28" s="10" t="s">
        <v>14</v>
      </c>
      <c r="D28" s="5" t="s">
        <v>41</v>
      </c>
      <c r="E28" s="22">
        <v>1.9</v>
      </c>
      <c r="F28" s="5" t="s">
        <v>36</v>
      </c>
      <c r="G28" s="5"/>
      <c r="H28" s="5"/>
      <c r="I28" s="10" t="s">
        <v>30</v>
      </c>
    </row>
    <row r="29" spans="1:9" x14ac:dyDescent="0.25">
      <c r="A29" s="6" t="s">
        <v>2</v>
      </c>
      <c r="B29" s="6" t="s">
        <v>2</v>
      </c>
      <c r="C29" s="11" t="s">
        <v>15</v>
      </c>
      <c r="D29" s="6" t="s">
        <v>41</v>
      </c>
      <c r="E29" s="21">
        <v>2.5</v>
      </c>
      <c r="F29" s="6" t="s">
        <v>36</v>
      </c>
      <c r="G29" s="6"/>
      <c r="H29" s="6"/>
      <c r="I29" s="11" t="s">
        <v>30</v>
      </c>
    </row>
    <row r="30" spans="1:9" x14ac:dyDescent="0.25">
      <c r="A30" s="5" t="s">
        <v>42</v>
      </c>
      <c r="B30" s="5" t="s">
        <v>43</v>
      </c>
      <c r="C30" s="10" t="s">
        <v>44</v>
      </c>
      <c r="D30" s="5" t="s">
        <v>28</v>
      </c>
      <c r="E30" s="5" t="s">
        <v>45</v>
      </c>
      <c r="F30" s="5" t="s">
        <v>46</v>
      </c>
      <c r="G30" s="5"/>
      <c r="H30" s="5"/>
      <c r="I30" s="10" t="s">
        <v>30</v>
      </c>
    </row>
    <row r="31" spans="1:9" x14ac:dyDescent="0.25">
      <c r="A31" s="6" t="s">
        <v>42</v>
      </c>
      <c r="B31" s="6" t="s">
        <v>43</v>
      </c>
      <c r="C31" s="11" t="s">
        <v>47</v>
      </c>
      <c r="D31" s="6" t="s">
        <v>28</v>
      </c>
      <c r="E31" s="6" t="s">
        <v>48</v>
      </c>
      <c r="F31" s="6" t="s">
        <v>28</v>
      </c>
      <c r="G31" s="6"/>
      <c r="H31" s="6"/>
      <c r="I31" s="11" t="s">
        <v>30</v>
      </c>
    </row>
    <row r="32" spans="1:9" x14ac:dyDescent="0.25">
      <c r="A32" s="5" t="s">
        <v>42</v>
      </c>
      <c r="B32" s="5" t="s">
        <v>43</v>
      </c>
      <c r="C32" s="10" t="s">
        <v>49</v>
      </c>
      <c r="D32" s="5" t="s">
        <v>28</v>
      </c>
      <c r="E32" s="5">
        <v>270000</v>
      </c>
      <c r="F32" s="5" t="s">
        <v>50</v>
      </c>
      <c r="G32" s="5"/>
      <c r="H32" s="5"/>
      <c r="I32" s="10" t="s">
        <v>30</v>
      </c>
    </row>
    <row r="33" spans="1:9" x14ac:dyDescent="0.25">
      <c r="A33" s="6" t="s">
        <v>42</v>
      </c>
      <c r="B33" s="6" t="s">
        <v>43</v>
      </c>
      <c r="C33" s="11" t="s">
        <v>51</v>
      </c>
      <c r="D33" s="6" t="s">
        <v>28</v>
      </c>
      <c r="E33" s="6">
        <v>69</v>
      </c>
      <c r="F33" s="6" t="s">
        <v>52</v>
      </c>
      <c r="G33" s="6"/>
      <c r="H33" s="6"/>
      <c r="I33" s="11" t="s">
        <v>30</v>
      </c>
    </row>
    <row r="34" spans="1:9" x14ac:dyDescent="0.25">
      <c r="A34" s="5" t="s">
        <v>42</v>
      </c>
      <c r="B34" s="5" t="s">
        <v>43</v>
      </c>
      <c r="C34" s="10" t="s">
        <v>53</v>
      </c>
      <c r="D34" s="5" t="s">
        <v>28</v>
      </c>
      <c r="E34" s="5">
        <v>5.2</v>
      </c>
      <c r="F34" s="5" t="s">
        <v>54</v>
      </c>
      <c r="G34" s="5"/>
      <c r="H34" s="5"/>
      <c r="I34" s="10" t="s">
        <v>30</v>
      </c>
    </row>
    <row r="35" spans="1:9" x14ac:dyDescent="0.25">
      <c r="A35" s="8" t="s">
        <v>42</v>
      </c>
      <c r="B35" s="8" t="s">
        <v>43</v>
      </c>
      <c r="C35" s="12" t="s">
        <v>55</v>
      </c>
      <c r="D35" s="8" t="s">
        <v>28</v>
      </c>
      <c r="E35" s="8">
        <v>281000</v>
      </c>
      <c r="F35" s="8" t="s">
        <v>56</v>
      </c>
      <c r="G35" s="8"/>
      <c r="H35" s="8"/>
      <c r="I35" s="12" t="s">
        <v>30</v>
      </c>
    </row>
  </sheetData>
  <autoFilter ref="A4:I35" xr:uid="{00000000-0009-0000-0000-000001000000}"/>
  <mergeCells count="2">
    <mergeCell ref="A1:I1"/>
    <mergeCell ref="A2:I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20" customWidth="1"/>
    <col min="2" max="2" width="21" customWidth="1"/>
    <col min="3" max="3" width="21.85546875" customWidth="1"/>
    <col min="4" max="4" width="34.28515625" customWidth="1"/>
    <col min="5" max="5" width="38.140625" customWidth="1"/>
  </cols>
  <sheetData>
    <row r="1" spans="1:5" ht="24" x14ac:dyDescent="0.4">
      <c r="A1" s="54" t="s">
        <v>25</v>
      </c>
      <c r="B1" s="54"/>
      <c r="C1" s="54"/>
      <c r="D1" s="54"/>
      <c r="E1" s="54"/>
    </row>
    <row r="2" spans="1:5" x14ac:dyDescent="0.25">
      <c r="A2" s="55" t="s">
        <v>271</v>
      </c>
      <c r="B2" s="55"/>
      <c r="C2" s="55"/>
      <c r="D2" s="55"/>
      <c r="E2" s="55"/>
    </row>
    <row r="3" spans="1:5" x14ac:dyDescent="0.25">
      <c r="A3" s="1"/>
      <c r="B3" s="1"/>
      <c r="C3" s="1"/>
      <c r="D3" s="1"/>
      <c r="E3" s="1"/>
    </row>
    <row r="4" spans="1:5" x14ac:dyDescent="0.25">
      <c r="A4" s="7" t="s">
        <v>57</v>
      </c>
      <c r="B4" s="7" t="s">
        <v>28</v>
      </c>
      <c r="C4" s="7" t="s">
        <v>58</v>
      </c>
      <c r="D4" s="7" t="s">
        <v>59</v>
      </c>
      <c r="E4" s="7" t="s">
        <v>60</v>
      </c>
    </row>
    <row r="5" spans="1:5" x14ac:dyDescent="0.25">
      <c r="A5" s="4" t="s">
        <v>1</v>
      </c>
      <c r="B5" s="4" t="s">
        <v>61</v>
      </c>
      <c r="C5" s="4" t="s">
        <v>62</v>
      </c>
      <c r="D5" s="9" t="s">
        <v>63</v>
      </c>
      <c r="E5" s="9" t="s">
        <v>64</v>
      </c>
    </row>
    <row r="6" spans="1:5" x14ac:dyDescent="0.25">
      <c r="A6" s="5" t="s">
        <v>65</v>
      </c>
      <c r="B6" s="5" t="s">
        <v>66</v>
      </c>
      <c r="C6" s="5" t="s">
        <v>67</v>
      </c>
      <c r="D6" s="10" t="s">
        <v>68</v>
      </c>
      <c r="E6" s="10" t="s">
        <v>69</v>
      </c>
    </row>
    <row r="7" spans="1:5" x14ac:dyDescent="0.25">
      <c r="A7" s="6" t="s">
        <v>70</v>
      </c>
      <c r="B7" s="6" t="s">
        <v>71</v>
      </c>
      <c r="C7" s="6" t="s">
        <v>72</v>
      </c>
      <c r="D7" s="11" t="s">
        <v>73</v>
      </c>
      <c r="E7" s="11" t="s">
        <v>74</v>
      </c>
    </row>
    <row r="8" spans="1:5" x14ac:dyDescent="0.25">
      <c r="A8" s="5" t="s">
        <v>75</v>
      </c>
      <c r="B8" s="5" t="s">
        <v>76</v>
      </c>
      <c r="C8" s="5" t="s">
        <v>77</v>
      </c>
      <c r="D8" s="10" t="s">
        <v>78</v>
      </c>
      <c r="E8" s="10" t="s">
        <v>79</v>
      </c>
    </row>
    <row r="9" spans="1:5" x14ac:dyDescent="0.25">
      <c r="A9" s="8" t="s">
        <v>80</v>
      </c>
      <c r="B9" s="8" t="s">
        <v>81</v>
      </c>
      <c r="C9" s="8" t="s">
        <v>82</v>
      </c>
      <c r="D9" s="12" t="s">
        <v>78</v>
      </c>
      <c r="E9" s="12" t="s">
        <v>83</v>
      </c>
    </row>
  </sheetData>
  <autoFilter ref="A4:E9" xr:uid="{00000000-0009-0000-0000-000002000000}"/>
  <mergeCells count="2">
    <mergeCell ref="A1:E1"/>
    <mergeCell ref="A2:E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7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"/>
  <sheetViews>
    <sheetView showGridLines="0" workbookViewId="0">
      <pane ySplit="4" topLeftCell="A5" activePane="bottomLeft" state="frozen"/>
      <selection pane="bottomLeft" activeCell="A13" sqref="A13"/>
    </sheetView>
  </sheetViews>
  <sheetFormatPr defaultRowHeight="15" x14ac:dyDescent="0.25"/>
  <cols>
    <col min="1" max="1" width="38.140625" customWidth="1"/>
    <col min="2" max="3" width="21.85546875" customWidth="1"/>
    <col min="4" max="4" width="17.140625" customWidth="1"/>
    <col min="5" max="8" width="19" customWidth="1"/>
    <col min="9" max="9" width="20" customWidth="1"/>
  </cols>
  <sheetData>
    <row r="1" spans="1:9" ht="24" x14ac:dyDescent="0.4">
      <c r="A1" s="56" t="s">
        <v>38</v>
      </c>
      <c r="B1" s="54"/>
      <c r="C1" s="54"/>
      <c r="D1" s="54"/>
      <c r="E1" s="54"/>
      <c r="F1" s="54"/>
      <c r="G1" s="54"/>
      <c r="H1" s="54"/>
      <c r="I1" s="54"/>
    </row>
    <row r="2" spans="1:9" x14ac:dyDescent="0.25">
      <c r="A2" s="55" t="s">
        <v>272</v>
      </c>
      <c r="B2" s="55"/>
      <c r="C2" s="55"/>
      <c r="D2" s="55"/>
      <c r="E2" s="55"/>
      <c r="F2" s="55"/>
      <c r="G2" s="55"/>
      <c r="H2" s="55"/>
      <c r="I2" s="55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30" x14ac:dyDescent="0.25">
      <c r="A4" s="7" t="s">
        <v>0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</row>
    <row r="5" spans="1:9" x14ac:dyDescent="0.25">
      <c r="A5" s="9" t="s">
        <v>3</v>
      </c>
      <c r="B5" s="23">
        <v>103363</v>
      </c>
      <c r="C5" s="23">
        <v>94597</v>
      </c>
      <c r="D5" s="27">
        <v>9.3000000000000007</v>
      </c>
      <c r="E5" s="27">
        <v>26.1</v>
      </c>
      <c r="F5" s="27">
        <v>26.6</v>
      </c>
      <c r="G5" s="27">
        <v>38.700000000000003</v>
      </c>
      <c r="H5" s="4" t="s">
        <v>92</v>
      </c>
      <c r="I5" s="30">
        <v>-0.5</v>
      </c>
    </row>
    <row r="6" spans="1:9" x14ac:dyDescent="0.25">
      <c r="A6" s="10" t="s">
        <v>5</v>
      </c>
      <c r="B6" s="24">
        <v>42432</v>
      </c>
      <c r="C6" s="24">
        <v>40197</v>
      </c>
      <c r="D6" s="22">
        <v>5.6</v>
      </c>
      <c r="E6" s="22">
        <v>28.5</v>
      </c>
      <c r="F6" s="22">
        <v>27.9</v>
      </c>
      <c r="G6" s="22">
        <v>15.9</v>
      </c>
      <c r="H6" s="5" t="s">
        <v>92</v>
      </c>
      <c r="I6" s="31">
        <v>0.6</v>
      </c>
    </row>
    <row r="7" spans="1:9" ht="30" x14ac:dyDescent="0.25">
      <c r="A7" s="11" t="s">
        <v>7</v>
      </c>
      <c r="B7" s="25">
        <v>39474</v>
      </c>
      <c r="C7" s="25">
        <v>45893</v>
      </c>
      <c r="D7" s="29">
        <v>-14</v>
      </c>
      <c r="E7" s="21">
        <v>29.1</v>
      </c>
      <c r="F7" s="21">
        <v>20.9</v>
      </c>
      <c r="G7" s="21">
        <v>14.8</v>
      </c>
      <c r="H7" s="6" t="s">
        <v>93</v>
      </c>
      <c r="I7" s="32">
        <v>8.1999999999999993</v>
      </c>
    </row>
    <row r="8" spans="1:9" x14ac:dyDescent="0.25">
      <c r="A8" s="10" t="s">
        <v>9</v>
      </c>
      <c r="B8" s="24">
        <v>27745</v>
      </c>
      <c r="C8" s="24">
        <v>26456</v>
      </c>
      <c r="D8" s="22">
        <v>4.9000000000000004</v>
      </c>
      <c r="E8" s="22">
        <v>27</v>
      </c>
      <c r="F8" s="22">
        <v>28.2</v>
      </c>
      <c r="G8" s="22">
        <v>10.4</v>
      </c>
      <c r="H8" s="5" t="s">
        <v>94</v>
      </c>
      <c r="I8" s="31">
        <v>-1.2</v>
      </c>
    </row>
    <row r="9" spans="1:9" x14ac:dyDescent="0.25">
      <c r="A9" s="11" t="s">
        <v>11</v>
      </c>
      <c r="B9" s="25">
        <v>26614</v>
      </c>
      <c r="C9" s="25">
        <v>25170</v>
      </c>
      <c r="D9" s="21">
        <v>5.7</v>
      </c>
      <c r="E9" s="21">
        <v>30.3</v>
      </c>
      <c r="F9" s="21">
        <v>32.700000000000003</v>
      </c>
      <c r="G9" s="21">
        <v>10</v>
      </c>
      <c r="H9" s="6" t="s">
        <v>92</v>
      </c>
      <c r="I9" s="32">
        <v>-2.4</v>
      </c>
    </row>
    <row r="10" spans="1:9" x14ac:dyDescent="0.25">
      <c r="A10" s="14" t="s">
        <v>13</v>
      </c>
      <c r="B10" s="26">
        <v>27393</v>
      </c>
      <c r="C10" s="26">
        <v>23011</v>
      </c>
      <c r="D10" s="28">
        <v>19</v>
      </c>
      <c r="E10" s="28">
        <v>22.9</v>
      </c>
      <c r="F10" s="28">
        <v>25.2</v>
      </c>
      <c r="G10" s="28">
        <v>10.3</v>
      </c>
      <c r="H10" s="13" t="s">
        <v>95</v>
      </c>
      <c r="I10" s="33">
        <v>-2.2999999999999998</v>
      </c>
    </row>
  </sheetData>
  <autoFilter ref="A4:I10" xr:uid="{00000000-0009-0000-0000-000003000000}"/>
  <mergeCells count="2">
    <mergeCell ref="A1:I1"/>
    <mergeCell ref="A2:I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1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30.42578125" customWidth="1"/>
    <col min="2" max="2" width="21" customWidth="1"/>
    <col min="3" max="3" width="12.42578125" customWidth="1"/>
    <col min="4" max="4" width="14.28515625" customWidth="1"/>
  </cols>
  <sheetData>
    <row r="1" spans="1:4" ht="24" x14ac:dyDescent="0.4">
      <c r="A1" s="54" t="s">
        <v>273</v>
      </c>
      <c r="B1" s="54"/>
      <c r="C1" s="54"/>
      <c r="D1" s="54"/>
    </row>
    <row r="2" spans="1:4" x14ac:dyDescent="0.25">
      <c r="A2" s="55" t="s">
        <v>274</v>
      </c>
      <c r="B2" s="55"/>
      <c r="C2" s="55"/>
      <c r="D2" s="55"/>
    </row>
    <row r="3" spans="1:4" x14ac:dyDescent="0.25">
      <c r="A3" s="1"/>
      <c r="B3" s="1"/>
      <c r="C3" s="1"/>
      <c r="D3" s="1"/>
    </row>
    <row r="4" spans="1:4" x14ac:dyDescent="0.25">
      <c r="A4" s="7" t="s">
        <v>2</v>
      </c>
      <c r="B4" s="7" t="s">
        <v>96</v>
      </c>
      <c r="C4" s="7" t="s">
        <v>97</v>
      </c>
      <c r="D4" s="7" t="s">
        <v>98</v>
      </c>
    </row>
    <row r="5" spans="1:4" x14ac:dyDescent="0.25">
      <c r="A5" s="4" t="s">
        <v>4</v>
      </c>
      <c r="B5" s="27">
        <v>48.6</v>
      </c>
      <c r="C5" s="4">
        <v>1</v>
      </c>
      <c r="D5" s="4" t="b">
        <v>1</v>
      </c>
    </row>
    <row r="6" spans="1:4" x14ac:dyDescent="0.25">
      <c r="A6" s="5" t="s">
        <v>6</v>
      </c>
      <c r="B6" s="22">
        <v>17.399999999999999</v>
      </c>
      <c r="C6" s="5">
        <v>2</v>
      </c>
      <c r="D6" s="5" t="b">
        <v>1</v>
      </c>
    </row>
    <row r="7" spans="1:4" x14ac:dyDescent="0.25">
      <c r="A7" s="6" t="s">
        <v>8</v>
      </c>
      <c r="B7" s="21">
        <v>15.4</v>
      </c>
      <c r="C7" s="6">
        <v>3</v>
      </c>
      <c r="D7" s="6" t="b">
        <v>1</v>
      </c>
    </row>
    <row r="8" spans="1:4" x14ac:dyDescent="0.25">
      <c r="A8" s="5" t="s">
        <v>10</v>
      </c>
      <c r="B8" s="22">
        <v>8.3000000000000007</v>
      </c>
      <c r="C8" s="5">
        <v>4</v>
      </c>
      <c r="D8" s="5" t="b">
        <v>0</v>
      </c>
    </row>
    <row r="9" spans="1:4" x14ac:dyDescent="0.25">
      <c r="A9" s="6" t="s">
        <v>12</v>
      </c>
      <c r="B9" s="21">
        <v>5.9</v>
      </c>
      <c r="C9" s="6">
        <v>5</v>
      </c>
      <c r="D9" s="6" t="b">
        <v>0</v>
      </c>
    </row>
    <row r="10" spans="1:4" x14ac:dyDescent="0.25">
      <c r="A10" s="5" t="s">
        <v>14</v>
      </c>
      <c r="B10" s="22">
        <v>1.9</v>
      </c>
      <c r="C10" s="5">
        <v>7</v>
      </c>
      <c r="D10" s="5" t="b">
        <v>0</v>
      </c>
    </row>
    <row r="11" spans="1:4" x14ac:dyDescent="0.25">
      <c r="A11" s="8" t="s">
        <v>15</v>
      </c>
      <c r="B11" s="34">
        <v>2.5</v>
      </c>
      <c r="C11" s="8">
        <v>6</v>
      </c>
      <c r="D11" s="8" t="b">
        <v>0</v>
      </c>
    </row>
  </sheetData>
  <autoFilter ref="A4:D11" xr:uid="{00000000-0009-0000-0000-000004000000}"/>
  <mergeCells count="2">
    <mergeCell ref="A1:D1"/>
    <mergeCell ref="A2:D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0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38.140625" customWidth="1"/>
    <col min="2" max="2" width="21.85546875" customWidth="1"/>
    <col min="3" max="3" width="24.7109375" customWidth="1"/>
    <col min="4" max="4" width="38.140625" customWidth="1"/>
  </cols>
  <sheetData>
    <row r="1" spans="1:4" ht="24" x14ac:dyDescent="0.4">
      <c r="A1" s="54" t="s">
        <v>42</v>
      </c>
      <c r="B1" s="54"/>
      <c r="C1" s="54"/>
      <c r="D1" s="54"/>
    </row>
    <row r="2" spans="1:4" x14ac:dyDescent="0.25">
      <c r="A2" s="55" t="s">
        <v>275</v>
      </c>
      <c r="B2" s="55"/>
      <c r="C2" s="55"/>
      <c r="D2" s="55"/>
    </row>
    <row r="3" spans="1:4" x14ac:dyDescent="0.25">
      <c r="A3" s="1"/>
      <c r="B3" s="1"/>
      <c r="C3" s="1"/>
      <c r="D3" s="1"/>
    </row>
    <row r="4" spans="1:4" x14ac:dyDescent="0.25">
      <c r="A4" s="7" t="s">
        <v>19</v>
      </c>
      <c r="B4" s="7" t="s">
        <v>20</v>
      </c>
      <c r="C4" s="7" t="s">
        <v>99</v>
      </c>
      <c r="D4" s="7" t="s">
        <v>100</v>
      </c>
    </row>
    <row r="5" spans="1:4" x14ac:dyDescent="0.25">
      <c r="A5" s="9" t="s">
        <v>44</v>
      </c>
      <c r="B5" s="4" t="s">
        <v>45</v>
      </c>
      <c r="C5" s="4" t="s">
        <v>46</v>
      </c>
      <c r="D5" s="9" t="s">
        <v>101</v>
      </c>
    </row>
    <row r="6" spans="1:4" x14ac:dyDescent="0.25">
      <c r="A6" s="10" t="s">
        <v>47</v>
      </c>
      <c r="B6" s="5" t="s">
        <v>48</v>
      </c>
      <c r="C6" s="5" t="s">
        <v>28</v>
      </c>
      <c r="D6" s="10" t="s">
        <v>102</v>
      </c>
    </row>
    <row r="7" spans="1:4" x14ac:dyDescent="0.25">
      <c r="A7" s="11" t="s">
        <v>49</v>
      </c>
      <c r="B7" s="6">
        <v>270000</v>
      </c>
      <c r="C7" s="6" t="s">
        <v>50</v>
      </c>
      <c r="D7" s="11" t="s">
        <v>103</v>
      </c>
    </row>
    <row r="8" spans="1:4" x14ac:dyDescent="0.25">
      <c r="A8" s="10" t="s">
        <v>51</v>
      </c>
      <c r="B8" s="5">
        <v>69</v>
      </c>
      <c r="C8" s="5" t="s">
        <v>52</v>
      </c>
      <c r="D8" s="10" t="s">
        <v>104</v>
      </c>
    </row>
    <row r="9" spans="1:4" x14ac:dyDescent="0.25">
      <c r="A9" s="11" t="s">
        <v>53</v>
      </c>
      <c r="B9" s="6">
        <v>5.2</v>
      </c>
      <c r="C9" s="6" t="s">
        <v>54</v>
      </c>
      <c r="D9" s="11" t="s">
        <v>105</v>
      </c>
    </row>
    <row r="10" spans="1:4" x14ac:dyDescent="0.25">
      <c r="A10" s="14" t="s">
        <v>55</v>
      </c>
      <c r="B10" s="13">
        <v>281000</v>
      </c>
      <c r="C10" s="13" t="s">
        <v>56</v>
      </c>
      <c r="D10" s="14" t="s">
        <v>106</v>
      </c>
    </row>
  </sheetData>
  <autoFilter ref="A4:D10" xr:uid="{00000000-0009-0000-0000-000005000000}"/>
  <mergeCells count="2">
    <mergeCell ref="A1:D1"/>
    <mergeCell ref="A2:D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8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9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12.42578125" customWidth="1"/>
    <col min="2" max="2" width="21" customWidth="1"/>
    <col min="3" max="3" width="36.140625" customWidth="1"/>
    <col min="4" max="4" width="19" customWidth="1"/>
    <col min="5" max="5" width="41.85546875" customWidth="1"/>
  </cols>
  <sheetData>
    <row r="1" spans="1:5" ht="24" x14ac:dyDescent="0.4">
      <c r="A1" s="54" t="s">
        <v>276</v>
      </c>
      <c r="B1" s="54"/>
      <c r="C1" s="54"/>
      <c r="D1" s="54"/>
      <c r="E1" s="54"/>
    </row>
    <row r="2" spans="1:5" x14ac:dyDescent="0.25">
      <c r="A2" s="55" t="s">
        <v>277</v>
      </c>
      <c r="B2" s="55"/>
      <c r="C2" s="55"/>
      <c r="D2" s="55"/>
      <c r="E2" s="55"/>
    </row>
    <row r="3" spans="1:5" x14ac:dyDescent="0.25">
      <c r="A3" s="1"/>
      <c r="B3" s="1"/>
      <c r="C3" s="1"/>
      <c r="D3" s="1"/>
      <c r="E3" s="1"/>
    </row>
    <row r="4" spans="1:5" x14ac:dyDescent="0.25">
      <c r="A4" s="7" t="s">
        <v>107</v>
      </c>
      <c r="B4" s="7" t="s">
        <v>108</v>
      </c>
      <c r="C4" s="7" t="s">
        <v>109</v>
      </c>
      <c r="D4" s="7" t="s">
        <v>110</v>
      </c>
      <c r="E4" s="7" t="s">
        <v>111</v>
      </c>
    </row>
    <row r="5" spans="1:5" ht="30" x14ac:dyDescent="0.25">
      <c r="A5" s="4" t="s">
        <v>112</v>
      </c>
      <c r="B5" s="4" t="s">
        <v>113</v>
      </c>
      <c r="C5" s="9" t="s">
        <v>114</v>
      </c>
      <c r="D5" s="4" t="s">
        <v>115</v>
      </c>
      <c r="E5" s="9" t="s">
        <v>116</v>
      </c>
    </row>
    <row r="6" spans="1:5" x14ac:dyDescent="0.25">
      <c r="A6" s="5" t="s">
        <v>117</v>
      </c>
      <c r="B6" s="5" t="s">
        <v>3</v>
      </c>
      <c r="C6" s="10" t="s">
        <v>118</v>
      </c>
      <c r="D6" s="5" t="s">
        <v>115</v>
      </c>
      <c r="E6" s="10" t="s">
        <v>119</v>
      </c>
    </row>
    <row r="7" spans="1:5" x14ac:dyDescent="0.25">
      <c r="A7" s="6" t="s">
        <v>120</v>
      </c>
      <c r="B7" s="6" t="s">
        <v>4</v>
      </c>
      <c r="C7" s="11" t="s">
        <v>121</v>
      </c>
      <c r="D7" s="6" t="s">
        <v>115</v>
      </c>
      <c r="E7" s="11" t="s">
        <v>122</v>
      </c>
    </row>
    <row r="8" spans="1:5" x14ac:dyDescent="0.25">
      <c r="A8" s="5" t="s">
        <v>123</v>
      </c>
      <c r="B8" s="5" t="s">
        <v>124</v>
      </c>
      <c r="C8" s="10" t="s">
        <v>125</v>
      </c>
      <c r="D8" s="5" t="s">
        <v>115</v>
      </c>
      <c r="E8" s="10" t="s">
        <v>126</v>
      </c>
    </row>
    <row r="9" spans="1:5" x14ac:dyDescent="0.25">
      <c r="A9" s="8" t="s">
        <v>127</v>
      </c>
      <c r="B9" s="8" t="s">
        <v>11</v>
      </c>
      <c r="C9" s="12" t="s">
        <v>128</v>
      </c>
      <c r="D9" s="8" t="s">
        <v>129</v>
      </c>
      <c r="E9" s="12" t="s">
        <v>130</v>
      </c>
    </row>
  </sheetData>
  <autoFilter ref="A4:E9" xr:uid="{00000000-0009-0000-0000-000006000000}"/>
  <mergeCells count="2">
    <mergeCell ref="A1:E1"/>
    <mergeCell ref="A2:E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8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8.5703125" customWidth="1"/>
    <col min="2" max="2" width="26.7109375" customWidth="1"/>
    <col min="3" max="5" width="41.85546875" customWidth="1"/>
  </cols>
  <sheetData>
    <row r="1" spans="1:5" ht="24" x14ac:dyDescent="0.4">
      <c r="A1" s="54" t="s">
        <v>278</v>
      </c>
      <c r="B1" s="54"/>
      <c r="C1" s="54"/>
      <c r="D1" s="54"/>
      <c r="E1" s="54"/>
    </row>
    <row r="2" spans="1:5" x14ac:dyDescent="0.25">
      <c r="A2" s="55" t="s">
        <v>279</v>
      </c>
      <c r="B2" s="55"/>
      <c r="C2" s="55"/>
      <c r="D2" s="55"/>
      <c r="E2" s="55"/>
    </row>
    <row r="3" spans="1:5" x14ac:dyDescent="0.25">
      <c r="A3" s="1"/>
      <c r="B3" s="1"/>
      <c r="C3" s="1"/>
      <c r="D3" s="1"/>
      <c r="E3" s="1"/>
    </row>
    <row r="4" spans="1:5" x14ac:dyDescent="0.25">
      <c r="A4" s="7" t="s">
        <v>131</v>
      </c>
      <c r="B4" s="7" t="s">
        <v>132</v>
      </c>
      <c r="C4" s="7" t="s">
        <v>133</v>
      </c>
      <c r="D4" s="7" t="s">
        <v>134</v>
      </c>
      <c r="E4" s="7" t="s">
        <v>135</v>
      </c>
    </row>
    <row r="5" spans="1:5" ht="30" x14ac:dyDescent="0.25">
      <c r="A5" s="4">
        <v>1</v>
      </c>
      <c r="B5" s="4" t="s">
        <v>136</v>
      </c>
      <c r="C5" s="9" t="s">
        <v>137</v>
      </c>
      <c r="D5" s="9" t="s">
        <v>138</v>
      </c>
      <c r="E5" s="9" t="s">
        <v>139</v>
      </c>
    </row>
    <row r="6" spans="1:5" ht="30" x14ac:dyDescent="0.25">
      <c r="A6" s="5">
        <v>2</v>
      </c>
      <c r="B6" s="5" t="s">
        <v>140</v>
      </c>
      <c r="C6" s="10" t="s">
        <v>141</v>
      </c>
      <c r="D6" s="10" t="s">
        <v>142</v>
      </c>
      <c r="E6" s="10" t="s">
        <v>143</v>
      </c>
    </row>
    <row r="7" spans="1:5" ht="30" x14ac:dyDescent="0.25">
      <c r="A7" s="6">
        <v>3</v>
      </c>
      <c r="B7" s="6" t="s">
        <v>144</v>
      </c>
      <c r="C7" s="11" t="s">
        <v>145</v>
      </c>
      <c r="D7" s="11" t="s">
        <v>146</v>
      </c>
      <c r="E7" s="11" t="s">
        <v>147</v>
      </c>
    </row>
    <row r="8" spans="1:5" ht="30" x14ac:dyDescent="0.25">
      <c r="A8" s="5">
        <v>4</v>
      </c>
      <c r="B8" s="5" t="s">
        <v>148</v>
      </c>
      <c r="C8" s="10" t="s">
        <v>149</v>
      </c>
      <c r="D8" s="10" t="s">
        <v>150</v>
      </c>
      <c r="E8" s="10" t="s">
        <v>151</v>
      </c>
    </row>
    <row r="9" spans="1:5" ht="30" x14ac:dyDescent="0.25">
      <c r="A9" s="6">
        <v>5</v>
      </c>
      <c r="B9" s="6" t="s">
        <v>152</v>
      </c>
      <c r="C9" s="11" t="s">
        <v>153</v>
      </c>
      <c r="D9" s="11" t="s">
        <v>154</v>
      </c>
      <c r="E9" s="11" t="s">
        <v>155</v>
      </c>
    </row>
    <row r="10" spans="1:5" ht="30" x14ac:dyDescent="0.25">
      <c r="A10" s="5">
        <v>6</v>
      </c>
      <c r="B10" s="5" t="s">
        <v>156</v>
      </c>
      <c r="C10" s="10" t="s">
        <v>157</v>
      </c>
      <c r="D10" s="10" t="s">
        <v>158</v>
      </c>
      <c r="E10" s="10" t="s">
        <v>159</v>
      </c>
    </row>
    <row r="11" spans="1:5" ht="30" x14ac:dyDescent="0.25">
      <c r="A11" s="6">
        <v>7</v>
      </c>
      <c r="B11" s="6" t="s">
        <v>160</v>
      </c>
      <c r="C11" s="11" t="s">
        <v>161</v>
      </c>
      <c r="D11" s="11" t="s">
        <v>162</v>
      </c>
      <c r="E11" s="11" t="s">
        <v>163</v>
      </c>
    </row>
    <row r="12" spans="1:5" ht="30" x14ac:dyDescent="0.25">
      <c r="A12" s="5">
        <v>8</v>
      </c>
      <c r="B12" s="5" t="s">
        <v>164</v>
      </c>
      <c r="C12" s="10" t="s">
        <v>165</v>
      </c>
      <c r="D12" s="10" t="s">
        <v>166</v>
      </c>
      <c r="E12" s="10" t="s">
        <v>167</v>
      </c>
    </row>
    <row r="13" spans="1:5" ht="30" x14ac:dyDescent="0.25">
      <c r="A13" s="6">
        <v>9</v>
      </c>
      <c r="B13" s="6" t="s">
        <v>168</v>
      </c>
      <c r="C13" s="11" t="s">
        <v>169</v>
      </c>
      <c r="D13" s="11" t="s">
        <v>170</v>
      </c>
      <c r="E13" s="11" t="s">
        <v>171</v>
      </c>
    </row>
    <row r="14" spans="1:5" ht="30" x14ac:dyDescent="0.25">
      <c r="A14" s="5">
        <v>10</v>
      </c>
      <c r="B14" s="5" t="s">
        <v>172</v>
      </c>
      <c r="C14" s="10" t="s">
        <v>173</v>
      </c>
      <c r="D14" s="10" t="s">
        <v>174</v>
      </c>
      <c r="E14" s="10" t="s">
        <v>175</v>
      </c>
    </row>
    <row r="15" spans="1:5" ht="30" x14ac:dyDescent="0.25">
      <c r="A15" s="6">
        <v>11</v>
      </c>
      <c r="B15" s="6" t="s">
        <v>176</v>
      </c>
      <c r="C15" s="11" t="s">
        <v>177</v>
      </c>
      <c r="D15" s="11" t="s">
        <v>178</v>
      </c>
      <c r="E15" s="11" t="s">
        <v>179</v>
      </c>
    </row>
    <row r="16" spans="1:5" ht="30" x14ac:dyDescent="0.25">
      <c r="A16" s="5">
        <v>12</v>
      </c>
      <c r="B16" s="5" t="s">
        <v>180</v>
      </c>
      <c r="C16" s="10" t="s">
        <v>181</v>
      </c>
      <c r="D16" s="10" t="s">
        <v>182</v>
      </c>
      <c r="E16" s="10" t="s">
        <v>183</v>
      </c>
    </row>
    <row r="17" spans="1:5" ht="30" x14ac:dyDescent="0.25">
      <c r="A17" s="6">
        <v>13</v>
      </c>
      <c r="B17" s="6" t="s">
        <v>184</v>
      </c>
      <c r="C17" s="11" t="s">
        <v>185</v>
      </c>
      <c r="D17" s="11" t="s">
        <v>186</v>
      </c>
      <c r="E17" s="11" t="s">
        <v>187</v>
      </c>
    </row>
    <row r="18" spans="1:5" ht="45" x14ac:dyDescent="0.25">
      <c r="A18" s="5">
        <v>14</v>
      </c>
      <c r="B18" s="5" t="s">
        <v>188</v>
      </c>
      <c r="C18" s="10" t="s">
        <v>189</v>
      </c>
      <c r="D18" s="10" t="s">
        <v>190</v>
      </c>
      <c r="E18" s="10" t="s">
        <v>191</v>
      </c>
    </row>
    <row r="19" spans="1:5" ht="45" x14ac:dyDescent="0.25">
      <c r="A19" s="8">
        <v>15</v>
      </c>
      <c r="B19" s="8" t="s">
        <v>192</v>
      </c>
      <c r="C19" s="12" t="s">
        <v>193</v>
      </c>
      <c r="D19" s="12" t="s">
        <v>194</v>
      </c>
      <c r="E19" s="12" t="s">
        <v>195</v>
      </c>
    </row>
  </sheetData>
  <autoFilter ref="A4:E19" xr:uid="{00000000-0009-0000-0000-000007000000}"/>
  <mergeCells count="2">
    <mergeCell ref="A1:E1"/>
    <mergeCell ref="A2:E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6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9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22.85546875" customWidth="1"/>
    <col min="2" max="2" width="45.7109375" customWidth="1"/>
    <col min="3" max="3" width="28.5703125" customWidth="1"/>
  </cols>
  <sheetData>
    <row r="1" spans="1:3" ht="24" x14ac:dyDescent="0.4">
      <c r="A1" s="54" t="s">
        <v>280</v>
      </c>
      <c r="B1" s="54"/>
      <c r="C1" s="54"/>
    </row>
    <row r="2" spans="1:3" x14ac:dyDescent="0.25">
      <c r="A2" s="55" t="s">
        <v>281</v>
      </c>
      <c r="B2" s="55"/>
      <c r="C2" s="55"/>
    </row>
    <row r="3" spans="1:3" x14ac:dyDescent="0.25">
      <c r="A3" s="1"/>
      <c r="B3" s="1"/>
      <c r="C3" s="1"/>
    </row>
    <row r="4" spans="1:3" x14ac:dyDescent="0.25">
      <c r="A4" s="7" t="s">
        <v>196</v>
      </c>
      <c r="B4" s="7" t="s">
        <v>197</v>
      </c>
      <c r="C4" s="7" t="s">
        <v>198</v>
      </c>
    </row>
    <row r="5" spans="1:3" x14ac:dyDescent="0.25">
      <c r="A5" s="4" t="s">
        <v>199</v>
      </c>
      <c r="B5" s="9" t="s">
        <v>200</v>
      </c>
      <c r="C5" s="4" t="s">
        <v>201</v>
      </c>
    </row>
    <row r="6" spans="1:3" ht="30" x14ac:dyDescent="0.25">
      <c r="A6" s="5" t="s">
        <v>202</v>
      </c>
      <c r="B6" s="10" t="s">
        <v>203</v>
      </c>
      <c r="C6" s="5" t="s">
        <v>204</v>
      </c>
    </row>
    <row r="7" spans="1:3" x14ac:dyDescent="0.25">
      <c r="A7" s="6" t="s">
        <v>205</v>
      </c>
      <c r="B7" s="11" t="s">
        <v>206</v>
      </c>
      <c r="C7" s="6" t="s">
        <v>207</v>
      </c>
    </row>
    <row r="8" spans="1:3" x14ac:dyDescent="0.25">
      <c r="A8" s="5" t="s">
        <v>208</v>
      </c>
      <c r="B8" s="10" t="s">
        <v>209</v>
      </c>
      <c r="C8" s="5" t="s">
        <v>210</v>
      </c>
    </row>
    <row r="9" spans="1:3" x14ac:dyDescent="0.25">
      <c r="A9" s="8" t="s">
        <v>211</v>
      </c>
      <c r="B9" s="12" t="s">
        <v>212</v>
      </c>
      <c r="C9" s="8" t="s">
        <v>213</v>
      </c>
    </row>
  </sheetData>
  <autoFilter ref="A4:C9" xr:uid="{00000000-0009-0000-0000-000008000000}"/>
  <mergeCells count="2">
    <mergeCell ref="A1:C1"/>
    <mergeCell ref="A2:C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24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66.7109375" customWidth="1"/>
  </cols>
  <sheetData>
    <row r="1" spans="1:1" ht="24" x14ac:dyDescent="0.4">
      <c r="A1" s="2" t="s">
        <v>282</v>
      </c>
    </row>
    <row r="2" spans="1:1" x14ac:dyDescent="0.25">
      <c r="A2" s="3" t="s">
        <v>283</v>
      </c>
    </row>
    <row r="3" spans="1:1" x14ac:dyDescent="0.25">
      <c r="A3" s="1"/>
    </row>
    <row r="4" spans="1:1" x14ac:dyDescent="0.25">
      <c r="A4" s="7" t="s">
        <v>214</v>
      </c>
    </row>
    <row r="5" spans="1:1" x14ac:dyDescent="0.25">
      <c r="A5" s="9" t="s">
        <v>215</v>
      </c>
    </row>
    <row r="6" spans="1:1" x14ac:dyDescent="0.25">
      <c r="A6" s="10" t="s">
        <v>216</v>
      </c>
    </row>
    <row r="7" spans="1:1" x14ac:dyDescent="0.25">
      <c r="A7" s="11" t="s">
        <v>217</v>
      </c>
    </row>
    <row r="8" spans="1:1" x14ac:dyDescent="0.25">
      <c r="A8" s="10" t="s">
        <v>218</v>
      </c>
    </row>
    <row r="9" spans="1:1" x14ac:dyDescent="0.25">
      <c r="A9" s="11" t="s">
        <v>219</v>
      </c>
    </row>
    <row r="10" spans="1:1" x14ac:dyDescent="0.25">
      <c r="A10" s="10" t="s">
        <v>220</v>
      </c>
    </row>
    <row r="11" spans="1:1" x14ac:dyDescent="0.25">
      <c r="A11" s="11" t="s">
        <v>221</v>
      </c>
    </row>
    <row r="12" spans="1:1" ht="30" x14ac:dyDescent="0.25">
      <c r="A12" s="10" t="s">
        <v>222</v>
      </c>
    </row>
    <row r="13" spans="1:1" x14ac:dyDescent="0.25">
      <c r="A13" s="11" t="s">
        <v>223</v>
      </c>
    </row>
    <row r="14" spans="1:1" x14ac:dyDescent="0.25">
      <c r="A14" s="10" t="s">
        <v>224</v>
      </c>
    </row>
    <row r="15" spans="1:1" x14ac:dyDescent="0.25">
      <c r="A15" s="11" t="s">
        <v>225</v>
      </c>
    </row>
    <row r="16" spans="1:1" x14ac:dyDescent="0.25">
      <c r="A16" s="10" t="s">
        <v>226</v>
      </c>
    </row>
    <row r="17" spans="1:1" x14ac:dyDescent="0.25">
      <c r="A17" s="11" t="s">
        <v>227</v>
      </c>
    </row>
    <row r="18" spans="1:1" ht="30" x14ac:dyDescent="0.25">
      <c r="A18" s="10" t="s">
        <v>228</v>
      </c>
    </row>
    <row r="19" spans="1:1" ht="30" x14ac:dyDescent="0.25">
      <c r="A19" s="11" t="s">
        <v>229</v>
      </c>
    </row>
    <row r="20" spans="1:1" x14ac:dyDescent="0.25">
      <c r="A20" s="10" t="s">
        <v>230</v>
      </c>
    </row>
    <row r="21" spans="1:1" x14ac:dyDescent="0.25">
      <c r="A21" s="11" t="s">
        <v>231</v>
      </c>
    </row>
    <row r="22" spans="1:1" x14ac:dyDescent="0.25">
      <c r="A22" s="10" t="s">
        <v>232</v>
      </c>
    </row>
    <row r="23" spans="1:1" ht="30" x14ac:dyDescent="0.25">
      <c r="A23" s="11" t="s">
        <v>233</v>
      </c>
    </row>
    <row r="24" spans="1:1" x14ac:dyDescent="0.25">
      <c r="A24" s="14" t="s">
        <v>234</v>
      </c>
    </row>
  </sheetData>
  <autoFilter ref="A4:A24" xr:uid="{00000000-0009-0000-0000-000009000000}"/>
  <printOptions horizontalCentered="1"/>
  <pageMargins left="3.472222222222222E-3" right="3.472222222222222E-3" top="4.8611111111111112E-3" bottom="4.8611111111111112E-3" header="1.3888888888888889E-3" footer="1.3888888888888889E-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9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15.28515625" customWidth="1"/>
    <col min="2" max="2" width="30.42578125" customWidth="1"/>
    <col min="3" max="3" width="49.5703125" customWidth="1"/>
    <col min="4" max="4" width="41.85546875" customWidth="1"/>
  </cols>
  <sheetData>
    <row r="1" spans="1:4" ht="24" x14ac:dyDescent="0.4">
      <c r="A1" s="54" t="s">
        <v>284</v>
      </c>
      <c r="B1" s="54"/>
      <c r="C1" s="54"/>
      <c r="D1" s="54"/>
    </row>
    <row r="2" spans="1:4" x14ac:dyDescent="0.25">
      <c r="A2" s="55" t="s">
        <v>285</v>
      </c>
      <c r="B2" s="55"/>
      <c r="C2" s="55"/>
      <c r="D2" s="55"/>
    </row>
    <row r="3" spans="1:4" x14ac:dyDescent="0.25">
      <c r="A3" s="1"/>
      <c r="B3" s="1"/>
      <c r="C3" s="1"/>
      <c r="D3" s="1"/>
    </row>
    <row r="4" spans="1:4" x14ac:dyDescent="0.25">
      <c r="A4" s="7" t="s">
        <v>235</v>
      </c>
      <c r="B4" s="7" t="s">
        <v>236</v>
      </c>
      <c r="C4" s="7" t="s">
        <v>237</v>
      </c>
      <c r="D4" s="7" t="s">
        <v>238</v>
      </c>
    </row>
    <row r="5" spans="1:4" ht="30" x14ac:dyDescent="0.25">
      <c r="A5" s="4" t="s">
        <v>239</v>
      </c>
      <c r="B5" s="4" t="s">
        <v>240</v>
      </c>
      <c r="C5" s="9" t="s">
        <v>241</v>
      </c>
      <c r="D5" s="9" t="s">
        <v>242</v>
      </c>
    </row>
    <row r="6" spans="1:4" ht="30" x14ac:dyDescent="0.25">
      <c r="A6" s="5" t="s">
        <v>243</v>
      </c>
      <c r="B6" s="5" t="s">
        <v>38</v>
      </c>
      <c r="C6" s="10" t="s">
        <v>244</v>
      </c>
      <c r="D6" s="10" t="s">
        <v>245</v>
      </c>
    </row>
    <row r="7" spans="1:4" x14ac:dyDescent="0.25">
      <c r="A7" s="6" t="s">
        <v>246</v>
      </c>
      <c r="B7" s="6" t="s">
        <v>2</v>
      </c>
      <c r="C7" s="11" t="s">
        <v>247</v>
      </c>
      <c r="D7" s="11" t="s">
        <v>248</v>
      </c>
    </row>
    <row r="8" spans="1:4" ht="30" x14ac:dyDescent="0.25">
      <c r="A8" s="5" t="s">
        <v>249</v>
      </c>
      <c r="B8" s="5" t="s">
        <v>42</v>
      </c>
      <c r="C8" s="10" t="s">
        <v>250</v>
      </c>
      <c r="D8" s="10" t="s">
        <v>251</v>
      </c>
    </row>
    <row r="9" spans="1:4" ht="30" x14ac:dyDescent="0.25">
      <c r="A9" s="8" t="s">
        <v>252</v>
      </c>
      <c r="B9" s="8" t="s">
        <v>253</v>
      </c>
      <c r="C9" s="12" t="s">
        <v>254</v>
      </c>
      <c r="D9" s="12" t="s">
        <v>255</v>
      </c>
    </row>
  </sheetData>
  <autoFilter ref="A4:D9" xr:uid="{00000000-0009-0000-0000-00000A000000}"/>
  <mergeCells count="2">
    <mergeCell ref="A1:D1"/>
    <mergeCell ref="A2:D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scale="7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11"/>
  <sheetViews>
    <sheetView showGridLines="0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28.5703125" customWidth="1"/>
    <col min="2" max="2" width="66.7109375" customWidth="1"/>
  </cols>
  <sheetData>
    <row r="1" spans="1:2" ht="24" x14ac:dyDescent="0.4">
      <c r="A1" s="54" t="s">
        <v>286</v>
      </c>
      <c r="B1" s="54"/>
    </row>
    <row r="2" spans="1:2" x14ac:dyDescent="0.25">
      <c r="A2" s="55" t="s">
        <v>287</v>
      </c>
      <c r="B2" s="55"/>
    </row>
    <row r="3" spans="1:2" x14ac:dyDescent="0.25">
      <c r="A3" s="1"/>
      <c r="B3" s="1"/>
    </row>
    <row r="4" spans="1:2" x14ac:dyDescent="0.25">
      <c r="A4" s="7">
        <v>0</v>
      </c>
      <c r="B4" s="7">
        <v>1</v>
      </c>
    </row>
    <row r="5" spans="1:2" x14ac:dyDescent="0.25">
      <c r="A5" s="4" t="s">
        <v>24</v>
      </c>
      <c r="B5" s="9" t="s">
        <v>256</v>
      </c>
    </row>
    <row r="6" spans="1:2" x14ac:dyDescent="0.25">
      <c r="A6" s="5" t="s">
        <v>257</v>
      </c>
      <c r="B6" s="10" t="s">
        <v>258</v>
      </c>
    </row>
    <row r="7" spans="1:2" x14ac:dyDescent="0.25">
      <c r="A7" s="6" t="s">
        <v>259</v>
      </c>
      <c r="B7" s="11" t="s">
        <v>260</v>
      </c>
    </row>
    <row r="8" spans="1:2" x14ac:dyDescent="0.25">
      <c r="A8" s="5" t="s">
        <v>261</v>
      </c>
      <c r="B8" s="10" t="s">
        <v>262</v>
      </c>
    </row>
    <row r="9" spans="1:2" ht="30" x14ac:dyDescent="0.25">
      <c r="A9" s="6" t="s">
        <v>263</v>
      </c>
      <c r="B9" s="11" t="s">
        <v>264</v>
      </c>
    </row>
    <row r="10" spans="1:2" ht="30" x14ac:dyDescent="0.25">
      <c r="A10" s="5" t="s">
        <v>265</v>
      </c>
      <c r="B10" s="10" t="s">
        <v>266</v>
      </c>
    </row>
    <row r="11" spans="1:2" x14ac:dyDescent="0.25">
      <c r="A11" s="8" t="s">
        <v>267</v>
      </c>
      <c r="B11" s="12" t="s">
        <v>268</v>
      </c>
    </row>
  </sheetData>
  <autoFilter ref="A4:B11" xr:uid="{00000000-0009-0000-0000-00000B000000}"/>
  <mergeCells count="2">
    <mergeCell ref="A1:B1"/>
    <mergeCell ref="A2:B2"/>
  </mergeCells>
  <printOptions horizontalCentered="1"/>
  <pageMargins left="3.472222222222222E-3" right="3.472222222222222E-3" top="4.8611111111111112E-3" bottom="4.8611111111111112E-3" header="1.3888888888888889E-3" footer="1.3888888888888889E-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Cover</vt:lpstr>
      <vt:lpstr>Dashboard</vt:lpstr>
      <vt:lpstr>01_MASTER_ALL_DATA</vt:lpstr>
      <vt:lpstr>02_FINANCIAL_ANALYSIS</vt:lpstr>
      <vt:lpstr>03_INDUSTRY_ANALYSIS</vt:lpstr>
      <vt:lpstr>04_GEOGRAPHY_ANALYSIS</vt:lpstr>
      <vt:lpstr>05_AI_ANALYSIS</vt:lpstr>
      <vt:lpstr>06_MANAGEMENT_PRIORITIES</vt:lpstr>
      <vt:lpstr>07_15_BUSINESS_INSIGHTS</vt:lpstr>
      <vt:lpstr>08_RECRUITER_PROJECT_STORY</vt:lpstr>
      <vt:lpstr>09_SQL_QUESTIONS</vt:lpstr>
      <vt:lpstr>10_DASHBOARD_LAYOUT</vt:lpstr>
      <vt:lpstr>11_METHODOLOGY</vt:lpstr>
      <vt:lpstr>'01_MASTER_ALL_DATA'!Print_Area</vt:lpstr>
      <vt:lpstr>'02_FINANCIAL_ANALYSIS'!Print_Area</vt:lpstr>
      <vt:lpstr>'03_INDUSTRY_ANALYSIS'!Print_Area</vt:lpstr>
      <vt:lpstr>'04_GEOGRAPHY_ANALYSIS'!Print_Area</vt:lpstr>
      <vt:lpstr>'05_AI_ANALYSIS'!Print_Area</vt:lpstr>
      <vt:lpstr>'06_MANAGEMENT_PRIORITIES'!Print_Area</vt:lpstr>
      <vt:lpstr>'07_15_BUSINESS_INSIGHTS'!Print_Area</vt:lpstr>
      <vt:lpstr>'08_RECRUITER_PROJECT_STORY'!Print_Area</vt:lpstr>
      <vt:lpstr>'09_SQL_QUESTIONS'!Print_Area</vt:lpstr>
      <vt:lpstr>'10_DASHBOARD_LAYOUT'!Print_Area</vt:lpstr>
      <vt:lpstr>'11_METHODOLOGY'!Print_Area</vt:lpstr>
      <vt:lpstr>Cover!Print_Area</vt:lpstr>
      <vt:lpstr>Dashboard!Print_Area</vt:lpstr>
      <vt:lpstr>'01_MASTER_ALL_DATA'!Print_Titles</vt:lpstr>
      <vt:lpstr>'07_15_BUSINESS_INSIGHTS'!Print_Titles</vt:lpstr>
      <vt:lpstr>'09_SQL_QUESTIONS'!Print_Titles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sanoj sethi</cp:lastModifiedBy>
  <dcterms:created xsi:type="dcterms:W3CDTF">2026-08-21T15:47:41Z</dcterms:created>
  <dcterms:modified xsi:type="dcterms:W3CDTF">2026-08-26T17:49:16Z</dcterms:modified>
</cp:coreProperties>
</file>